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docs.live.net/219aaa755445deda/Desktop/Analyst Projects/"/>
    </mc:Choice>
  </mc:AlternateContent>
  <xr:revisionPtr revIDLastSave="0" documentId="8_{540D4DEF-80BB-428B-9885-FF793B566107}" xr6:coauthVersionLast="47" xr6:coauthVersionMax="47" xr10:uidLastSave="{00000000-0000-0000-0000-000000000000}"/>
  <bookViews>
    <workbookView xWindow="-98" yWindow="-98" windowWidth="21795" windowHeight="12975" xr2:uid="{85196721-185B-42FD-8624-9AF291B36A8D}"/>
  </bookViews>
  <sheets>
    <sheet name="Cover Page" sheetId="1" r:id="rId1"/>
    <sheet name="RATIOS" sheetId="5" r:id="rId2"/>
    <sheet name="GRAPH" sheetId="6" r:id="rId3"/>
    <sheet name="BALANCE SHEET" sheetId="2" r:id="rId4"/>
    <sheet name="INCOME STATEMENT" sheetId="3" r:id="rId5"/>
    <sheet name="CASH FLOW" sheetId="4" r:id="rId6"/>
    <sheet name="FUTURE PROJECTION" sheetId="7"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 i="7" l="1"/>
  <c r="M6" i="7"/>
  <c r="K6" i="7"/>
  <c r="G7" i="7"/>
  <c r="H7" i="7" s="1"/>
  <c r="J7" i="7" s="1"/>
  <c r="G8" i="7"/>
  <c r="H8" i="7" s="1"/>
  <c r="J8" i="7" s="1"/>
  <c r="G6" i="7"/>
  <c r="H6" i="7" s="1"/>
  <c r="L8" i="7"/>
  <c r="F25" i="5"/>
  <c r="G25" i="5"/>
  <c r="H25" i="5"/>
  <c r="I25" i="5"/>
  <c r="E25" i="5"/>
  <c r="F20" i="5"/>
  <c r="G20" i="5"/>
  <c r="H20" i="5"/>
  <c r="I20" i="5"/>
  <c r="E20" i="5"/>
  <c r="C34" i="2"/>
  <c r="D34" i="2"/>
  <c r="E34" i="2"/>
  <c r="F34" i="2"/>
  <c r="B34" i="2"/>
  <c r="F22" i="5"/>
  <c r="G22" i="5"/>
  <c r="H22" i="5"/>
  <c r="I22" i="5"/>
  <c r="E22" i="5"/>
  <c r="F21" i="5"/>
  <c r="G21" i="5"/>
  <c r="H21" i="5"/>
  <c r="I21" i="5"/>
  <c r="E21" i="5"/>
  <c r="F19" i="5"/>
  <c r="G19" i="5"/>
  <c r="H19" i="5"/>
  <c r="I19" i="5"/>
  <c r="E19" i="5"/>
  <c r="F18" i="5"/>
  <c r="G18" i="5"/>
  <c r="H18" i="5"/>
  <c r="I18" i="5"/>
  <c r="E18" i="5"/>
  <c r="F17" i="5"/>
  <c r="G17" i="5"/>
  <c r="H17" i="5"/>
  <c r="I17" i="5"/>
  <c r="E17" i="5"/>
  <c r="F14" i="5"/>
  <c r="G14" i="5"/>
  <c r="H14" i="5"/>
  <c r="I14" i="5"/>
  <c r="E14" i="5"/>
  <c r="F13" i="5"/>
  <c r="G13" i="5"/>
  <c r="H13" i="5"/>
  <c r="I13" i="5"/>
  <c r="E13" i="5"/>
  <c r="F10" i="5"/>
  <c r="G10" i="5"/>
  <c r="H10" i="5"/>
  <c r="I10" i="5"/>
  <c r="E10" i="5"/>
  <c r="F9" i="5"/>
  <c r="G9" i="5"/>
  <c r="H9" i="5"/>
  <c r="I9" i="5"/>
  <c r="E9" i="5"/>
  <c r="E5" i="5"/>
  <c r="F8" i="5"/>
  <c r="G8" i="5"/>
  <c r="H8" i="5"/>
  <c r="I8" i="5"/>
  <c r="E8" i="5"/>
  <c r="G5" i="5"/>
  <c r="H5" i="5"/>
  <c r="I5" i="5"/>
  <c r="F5" i="5"/>
  <c r="I4" i="5"/>
  <c r="H4" i="5"/>
  <c r="G4" i="5"/>
  <c r="F4" i="5"/>
  <c r="E4" i="5"/>
  <c r="I6" i="7" l="1"/>
  <c r="J6" i="7"/>
  <c r="I8" i="7"/>
  <c r="I7" i="7"/>
</calcChain>
</file>

<file path=xl/sharedStrings.xml><?xml version="1.0" encoding="utf-8"?>
<sst xmlns="http://schemas.openxmlformats.org/spreadsheetml/2006/main" count="348" uniqueCount="210">
  <si>
    <t>Dec. 31, 2022</t>
  </si>
  <si>
    <t> </t>
  </si>
  <si>
    <t>Other current assets</t>
  </si>
  <si>
    <t>Total current assets</t>
  </si>
  <si>
    <t>Goodwill</t>
  </si>
  <si>
    <t>Deferred income taxes</t>
  </si>
  <si>
    <t>Other</t>
  </si>
  <si>
    <t>Total assets</t>
  </si>
  <si>
    <t>Accounts payable</t>
  </si>
  <si>
    <t>Total current liabilities</t>
  </si>
  <si>
    <t>Total liabilities</t>
  </si>
  <si>
    <t>Additional paid-in capital</t>
  </si>
  <si>
    <t>12 Months Ended</t>
  </si>
  <si>
    <t>Stock-based compensation</t>
  </si>
  <si>
    <t>COVER PAGE - USD ($)</t>
  </si>
  <si>
    <t>Dec. 30, 2023</t>
  </si>
  <si>
    <t>Feb. 15, 2024</t>
  </si>
  <si>
    <t>Jun. 30, 2023</t>
  </si>
  <si>
    <t>Cover [Abstract]</t>
  </si>
  <si>
    <t>Document Type</t>
  </si>
  <si>
    <t>10-K</t>
  </si>
  <si>
    <t>Document Annual Report</t>
  </si>
  <si>
    <t>true</t>
  </si>
  <si>
    <t>Document Period End Date</t>
  </si>
  <si>
    <t>Dec. 30,  2023</t>
  </si>
  <si>
    <t>Current Fiscal Year End Date</t>
  </si>
  <si>
    <t>--12-30</t>
  </si>
  <si>
    <t>Document Transition Report</t>
  </si>
  <si>
    <t>false</t>
  </si>
  <si>
    <t>Entity File Number</t>
  </si>
  <si>
    <t>001-38713</t>
  </si>
  <si>
    <t>Entity Registrant Name</t>
  </si>
  <si>
    <t>YETI Holdings, Inc.</t>
  </si>
  <si>
    <t>Entity Incorporation, State or Country Code</t>
  </si>
  <si>
    <t>DE</t>
  </si>
  <si>
    <t>Entity Tax Identification Number</t>
  </si>
  <si>
    <t>45-5297111</t>
  </si>
  <si>
    <t>Entity Address, Address Line One</t>
  </si>
  <si>
    <t>7601 Southwest Parkway</t>
  </si>
  <si>
    <t>Entity Address, City or Town</t>
  </si>
  <si>
    <t>Austin</t>
  </si>
  <si>
    <t>Entity Address, State or Province</t>
  </si>
  <si>
    <t>TX</t>
  </si>
  <si>
    <t>Entity Address, Postal Zip Code</t>
  </si>
  <si>
    <t>78735</t>
  </si>
  <si>
    <t>City Area Code</t>
  </si>
  <si>
    <t>512</t>
  </si>
  <si>
    <t>Local Phone Number</t>
  </si>
  <si>
    <t>394-9384</t>
  </si>
  <si>
    <t>Title of 12(b) Security</t>
  </si>
  <si>
    <t>Common Stock, par value $0.01 per share</t>
  </si>
  <si>
    <t>Trading Symbol</t>
  </si>
  <si>
    <t>YETI</t>
  </si>
  <si>
    <t>Security Exchange Name</t>
  </si>
  <si>
    <t>NYSE</t>
  </si>
  <si>
    <t>Entity Well-known Seasoned Issuer</t>
  </si>
  <si>
    <t>Yes</t>
  </si>
  <si>
    <t>Entity Voluntary Filers</t>
  </si>
  <si>
    <t>No</t>
  </si>
  <si>
    <t>Entity Current Reporting Status</t>
  </si>
  <si>
    <t>Entity Interactive Data Current</t>
  </si>
  <si>
    <t>Entity Filer Category</t>
  </si>
  <si>
    <t>Large Accelerated Filer</t>
  </si>
  <si>
    <t>Entity Small Business</t>
  </si>
  <si>
    <t>Entity Emerging Growth Company</t>
  </si>
  <si>
    <t>ICFR Auditor Attestation Flag</t>
  </si>
  <si>
    <t>Document Financial Statement Error Correction [Flag]</t>
  </si>
  <si>
    <t>Entity Shell Company</t>
  </si>
  <si>
    <t>Entity Public Float</t>
  </si>
  <si>
    <t>Entity Common Stock, Shares Outstanding</t>
  </si>
  <si>
    <t>Documents Incorporated by Reference</t>
  </si>
  <si>
    <t>Portions of the Proxy Statement for the registrant’s 2023 Annual Meeting of Stockholders, to be filed with the Securities and Exchange Commission no later than 120 days after December 30, 2023, are incorporated by reference in Part III herein.</t>
  </si>
  <si>
    <t>Entity Central Index Key</t>
  </si>
  <si>
    <t>0001670592</t>
  </si>
  <si>
    <t>Amendment Flag</t>
  </si>
  <si>
    <t>Document Fiscal Year Focus</t>
  </si>
  <si>
    <t>2023</t>
  </si>
  <si>
    <t>Document Fiscal Period Focus</t>
  </si>
  <si>
    <t>FY</t>
  </si>
  <si>
    <t>CONSOLIDATED BALANCE SHEETS - USD ($) $ in Thousands</t>
  </si>
  <si>
    <t>Current assets</t>
  </si>
  <si>
    <t>Cash</t>
  </si>
  <si>
    <t>Accounts receivable, net</t>
  </si>
  <si>
    <t>Inventory</t>
  </si>
  <si>
    <t>Prepaid expenses and other current assets</t>
  </si>
  <si>
    <t>Property and equipment, net</t>
  </si>
  <si>
    <t>Operating lease right-of-use assets</t>
  </si>
  <si>
    <t>Intangible assets, net</t>
  </si>
  <si>
    <t>Other assets</t>
  </si>
  <si>
    <t>Current liabilities</t>
  </si>
  <si>
    <t>Accrued expenses and other current liabilities</t>
  </si>
  <si>
    <t>Taxes payable</t>
  </si>
  <si>
    <t>Accrued payroll and related costs</t>
  </si>
  <si>
    <t>Operating lease liabilities</t>
  </si>
  <si>
    <t>Current maturities of long-term debt</t>
  </si>
  <si>
    <t>Long-term debt, net of current portion</t>
  </si>
  <si>
    <t>Operating lease liabilities, non-current</t>
  </si>
  <si>
    <t>Other liabilities</t>
  </si>
  <si>
    <t>Commitments and contingencies (Note 11)</t>
  </si>
  <si>
    <t xml:space="preserve"> </t>
  </si>
  <si>
    <t>Stockholders’ Equity</t>
  </si>
  <si>
    <t>Common stock, par value $0.01; 600,000,000 shares authorized; 88,592,761 and 86,916,210 shares issued and outstanding at December 30, 2023, respectively, and 88,107,787 and 86,431,236 shares issued and outstanding at December 31, 2022, respectively</t>
  </si>
  <si>
    <t>Treasury stock, at cost; 1,676,551 shares</t>
  </si>
  <si>
    <t>Preferred stock, par value $0.01; 30,000,000 shares authorized; no shares issued or outstanding</t>
  </si>
  <si>
    <t>Retained earnings</t>
  </si>
  <si>
    <t>Accumulated other comprehensive loss</t>
  </si>
  <si>
    <t>Total stockholders’ equity</t>
  </si>
  <si>
    <t>Total liabilities and stockholders’ equity</t>
  </si>
  <si>
    <t>CONSOLIDATED STATEMENTS OF OPERATIONS - USD ($) shares in Thousands, $ in Thousands</t>
  </si>
  <si>
    <t>Income Statement [Abstract]</t>
  </si>
  <si>
    <t>Net sales</t>
  </si>
  <si>
    <t>Cost of goods sold</t>
  </si>
  <si>
    <t>Gross profit</t>
  </si>
  <si>
    <t>Selling, general, and administrative expenses</t>
  </si>
  <si>
    <t>Operating income</t>
  </si>
  <si>
    <t>Interest expense, net</t>
  </si>
  <si>
    <t>Other income (expense), net</t>
  </si>
  <si>
    <t>Income before income taxes</t>
  </si>
  <si>
    <t>Income tax expense</t>
  </si>
  <si>
    <t>Net income</t>
  </si>
  <si>
    <t>Net income per share</t>
  </si>
  <si>
    <t>Basic (in dollars per share)</t>
  </si>
  <si>
    <t>Diluted (in dollars per share)</t>
  </si>
  <si>
    <t>Weighted-average common shares outstanding</t>
  </si>
  <si>
    <t>Basic (in shares)</t>
  </si>
  <si>
    <t>CONSOLIDATED STATEMENTS OF CASH FLOWS - USD ($) $ in Thousands</t>
  </si>
  <si>
    <t>Cash Flows from Operating Activities:</t>
  </si>
  <si>
    <t>Adjustments to reconcile net income to cash provided by operating activities:</t>
  </si>
  <si>
    <t>Depreciation and amortization</t>
  </si>
  <si>
    <t>Amortization of deferred financing fees</t>
  </si>
  <si>
    <t>Impairment of long-lived assets</t>
  </si>
  <si>
    <t>Loss on prepayment, modification, or extinguishment of debt</t>
  </si>
  <si>
    <t>Product recalls</t>
  </si>
  <si>
    <t>Changes in operating assets and liabilities:</t>
  </si>
  <si>
    <t>Accounts payable and accrued expenses</t>
  </si>
  <si>
    <t>Net cash provided by operating activities</t>
  </si>
  <si>
    <t>Cash Flows from Investing Activities:</t>
  </si>
  <si>
    <t>Purchases of property and equipment</t>
  </si>
  <si>
    <t>Additions of intangibles, net</t>
  </si>
  <si>
    <t>Net cash used in investing activities</t>
  </si>
  <si>
    <t>Cash Flows from Financing Activities:</t>
  </si>
  <si>
    <t>Repayments of long‑term debt</t>
  </si>
  <si>
    <t>Proceeds from employee stock transactions</t>
  </si>
  <si>
    <t>Taxes paid in connection with employee stock transactions</t>
  </si>
  <si>
    <t>Finance lease principal payment</t>
  </si>
  <si>
    <t>Repurchase of common stock</t>
  </si>
  <si>
    <t>Payments of deferred financing fees</t>
  </si>
  <si>
    <t>Net cash used in financing activities</t>
  </si>
  <si>
    <t>Effect of exchange rate changes on cash</t>
  </si>
  <si>
    <t>Net increase (decrease) in cash</t>
  </si>
  <si>
    <t>Cash, beginning of period</t>
  </si>
  <si>
    <t>Cash, end of period</t>
  </si>
  <si>
    <t>Supplemental cash flow information::</t>
  </si>
  <si>
    <t>Interest paid</t>
  </si>
  <si>
    <t>Income taxes paid, net of refunds</t>
  </si>
  <si>
    <t>Supplemental non-cash investing activity:</t>
  </si>
  <si>
    <t>Property and equipment additions included in accounts payable and accrued expenses</t>
  </si>
  <si>
    <t>Dec. 28, 2019</t>
  </si>
  <si>
    <t>FINANCIAL RATIOS</t>
  </si>
  <si>
    <t>LIQUIDITY RATIOS</t>
  </si>
  <si>
    <t>Current Ratio</t>
  </si>
  <si>
    <t>Quick Ratio</t>
  </si>
  <si>
    <t>ASSET MANAGEMENT RATIOS</t>
  </si>
  <si>
    <t>Inventory Turnover Ratio</t>
  </si>
  <si>
    <t>DSO (Days Sales Outstanding)</t>
  </si>
  <si>
    <t>Fixed assets Turnover Ratio</t>
  </si>
  <si>
    <t>Debt Management Ratio</t>
  </si>
  <si>
    <t xml:space="preserve">Total debt to total capital </t>
  </si>
  <si>
    <t>Times Interest Earned Ratio</t>
  </si>
  <si>
    <t>Profitability Ratios</t>
  </si>
  <si>
    <t>Operating Margin</t>
  </si>
  <si>
    <t>Profit Margin</t>
  </si>
  <si>
    <t>Return on total assets</t>
  </si>
  <si>
    <t xml:space="preserve">Return on Common Equity </t>
  </si>
  <si>
    <t>Return on invested Capital</t>
  </si>
  <si>
    <t>Basic earning Power</t>
  </si>
  <si>
    <t>DuPont Equation</t>
  </si>
  <si>
    <t>Dec. 28, 2020</t>
  </si>
  <si>
    <t>Dec. 28, 2021</t>
  </si>
  <si>
    <t>Dec.28, 2020</t>
  </si>
  <si>
    <t>Jan. 01, 2021</t>
  </si>
  <si>
    <t>Should be between 100-300</t>
  </si>
  <si>
    <t>To pay current liability, the company must sell inventory to repay. Quick cash must be between 50 -150</t>
  </si>
  <si>
    <t>Common Equity</t>
  </si>
  <si>
    <t>(ROE) Return on Equity</t>
  </si>
  <si>
    <t>How fast does inventory turn over</t>
  </si>
  <si>
    <t>measure of how long it takes for a company to collect payment after making a sale. It indicates the efficiency of the company’s receivables collection process.</t>
  </si>
  <si>
    <t>measures how efficiently a company is using its fixed assets (such as property, plant, and equipment) to generate sales.</t>
  </si>
  <si>
    <t>A higher ratio suggests the company is more leveraged (i.e., using more debt to finance operations</t>
  </si>
  <si>
    <t>A higher ratio indicates a greater ability to pay interest on its debt.</t>
  </si>
  <si>
    <t xml:space="preserve">This is a measure of the profitability of a company relative to shareholders' equity. </t>
  </si>
  <si>
    <t>evaluates a company’s ability to generate earnings from its assets before the effects of taxes and interest expenses.</t>
  </si>
  <si>
    <t>an indicator of how well the company is using its capital to generate profits.</t>
  </si>
  <si>
    <t>A high return on equity indicates the company is effectively using shareholders' investments to generate profits.</t>
  </si>
  <si>
    <t>measures the company’s ability to generate profit from its assets.</t>
  </si>
  <si>
    <t>profit margin is the percentage of sales that has turned into profit</t>
  </si>
  <si>
    <t>This is the percentage of revenue that remains after subtracting operating expenses</t>
  </si>
  <si>
    <t>Date</t>
  </si>
  <si>
    <t>Adj Close</t>
  </si>
  <si>
    <t>Actual</t>
  </si>
  <si>
    <t>Forecast</t>
  </si>
  <si>
    <t>Abs Error</t>
  </si>
  <si>
    <t>Error^2</t>
  </si>
  <si>
    <t>%Error</t>
  </si>
  <si>
    <t>MAD</t>
  </si>
  <si>
    <t>MSE</t>
  </si>
  <si>
    <t>MAPE</t>
  </si>
  <si>
    <t>R-Squard =</t>
  </si>
  <si>
    <t>r =</t>
  </si>
  <si>
    <t>YETI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</si>
</sst>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quot;$ &quot;#,##0_);_(&quot;$ &quot;\(#,##0\)"/>
    <numFmt numFmtId="165" formatCode="_(&quot;$ &quot;#,##0.00_);_(&quot;$ &quot;\(#,##0.00\)"/>
    <numFmt numFmtId="166" formatCode="0.000"/>
  </numFmts>
  <fonts count="7">
    <font>
      <sz val="11"/>
      <color theme="1"/>
      <name val="Calibri"/>
      <family val="2"/>
      <scheme val="minor"/>
    </font>
    <font>
      <b/>
      <sz val="11"/>
      <color theme="1"/>
      <name val="Calibri"/>
      <family val="2"/>
      <scheme val="minor"/>
    </font>
    <font>
      <b/>
      <sz val="11"/>
      <name val="Calibri"/>
      <family val="2"/>
    </font>
    <font>
      <sz val="11"/>
      <name val="Calibri"/>
      <family val="2"/>
    </font>
    <font>
      <sz val="11"/>
      <color theme="1"/>
      <name val="Calibri"/>
      <family val="2"/>
      <scheme val="minor"/>
    </font>
    <font>
      <sz val="11"/>
      <name val="Calibri"/>
    </font>
    <font>
      <sz val="11"/>
      <color rgb="FFFF000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6">
    <border>
      <left/>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38">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37" fontId="3" fillId="0" borderId="0" xfId="0" applyNumberFormat="1" applyFont="1" applyAlignment="1">
      <alignment horizontal="right" vertical="top"/>
    </xf>
    <xf numFmtId="164" fontId="3" fillId="0" borderId="0" xfId="0" applyNumberFormat="1" applyFont="1" applyAlignment="1">
      <alignment horizontal="right" vertical="top"/>
    </xf>
    <xf numFmtId="165" fontId="3" fillId="0" borderId="0" xfId="0" applyNumberFormat="1" applyFont="1" applyAlignment="1">
      <alignment horizontal="right" vertical="top"/>
    </xf>
    <xf numFmtId="0" fontId="1" fillId="0" borderId="0" xfId="0" applyFont="1" applyAlignment="1">
      <alignment horizontal="right"/>
    </xf>
    <xf numFmtId="0" fontId="0" fillId="0" borderId="0" xfId="0" applyAlignment="1">
      <alignment horizontal="right"/>
    </xf>
    <xf numFmtId="0" fontId="5" fillId="0" borderId="0" xfId="0" applyFont="1" applyAlignment="1">
      <alignment horizontal="center" vertical="center" wrapText="1"/>
    </xf>
    <xf numFmtId="0" fontId="5" fillId="0" borderId="0" xfId="0" applyFont="1" applyAlignment="1">
      <alignment vertical="top" wrapText="1"/>
    </xf>
    <xf numFmtId="164" fontId="5" fillId="0" borderId="0" xfId="0" applyNumberFormat="1" applyFont="1" applyAlignment="1">
      <alignment horizontal="right" vertical="top"/>
    </xf>
    <xf numFmtId="37" fontId="5" fillId="0" borderId="0" xfId="0" applyNumberFormat="1" applyFont="1" applyAlignment="1">
      <alignment horizontal="right" vertical="top"/>
    </xf>
    <xf numFmtId="9" fontId="0" fillId="0" borderId="0" xfId="1" applyFont="1"/>
    <xf numFmtId="0" fontId="0" fillId="0" borderId="2" xfId="0" applyBorder="1"/>
    <xf numFmtId="0" fontId="0" fillId="3" borderId="3" xfId="0" applyFill="1" applyBorder="1"/>
    <xf numFmtId="0" fontId="0" fillId="3" borderId="4" xfId="0" applyFill="1" applyBorder="1"/>
    <xf numFmtId="0" fontId="0" fillId="3" borderId="5" xfId="0" applyFill="1" applyBorder="1"/>
    <xf numFmtId="2" fontId="0" fillId="0" borderId="0" xfId="0" applyNumberFormat="1"/>
    <xf numFmtId="9" fontId="0" fillId="0" borderId="0" xfId="1" applyFont="1" applyAlignment="1">
      <alignment horizontal="right"/>
    </xf>
    <xf numFmtId="2" fontId="0" fillId="0" borderId="0" xfId="1" applyNumberFormat="1" applyFont="1"/>
    <xf numFmtId="14" fontId="0" fillId="0" borderId="0" xfId="0" applyNumberFormat="1"/>
    <xf numFmtId="0" fontId="1" fillId="0" borderId="0" xfId="0" applyFont="1"/>
    <xf numFmtId="0" fontId="6" fillId="0" borderId="0" xfId="0" applyFont="1"/>
    <xf numFmtId="43" fontId="0" fillId="0" borderId="0" xfId="2" applyFont="1"/>
    <xf numFmtId="166" fontId="0" fillId="0" borderId="0" xfId="0" applyNumberFormat="1"/>
    <xf numFmtId="10" fontId="0" fillId="0" borderId="0" xfId="1" applyNumberFormat="1" applyFont="1"/>
    <xf numFmtId="0" fontId="1" fillId="4" borderId="0" xfId="0" applyFont="1" applyFill="1"/>
    <xf numFmtId="0" fontId="1" fillId="5" borderId="0" xfId="0" applyFont="1" applyFill="1"/>
    <xf numFmtId="0" fontId="1" fillId="6" borderId="0" xfId="0" applyFont="1" applyFill="1"/>
    <xf numFmtId="166" fontId="0" fillId="4" borderId="0" xfId="0" applyNumberFormat="1" applyFill="1"/>
    <xf numFmtId="0" fontId="2" fillId="0" borderId="0" xfId="0" applyFont="1" applyAlignment="1">
      <alignment horizontal="center" vertical="center" wrapText="1"/>
    </xf>
    <xf numFmtId="0" fontId="0" fillId="0" borderId="0" xfId="0"/>
    <xf numFmtId="0" fontId="1" fillId="0" borderId="0" xfId="0" applyFont="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3" fillId="0" borderId="0" xfId="0" applyFont="1" applyAlignment="1">
      <alignment horizontal="center"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a:t>
            </a:r>
            <a:r>
              <a:rPr lang="en-US" baseline="0"/>
              <a:t> Assesment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0"/>
          <c:tx>
            <c:v>2019</c:v>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RATIOS!$B$18:$B$20</c:f>
              <c:strCache>
                <c:ptCount val="3"/>
                <c:pt idx="0">
                  <c:v>Profit Margin</c:v>
                </c:pt>
                <c:pt idx="1">
                  <c:v>Return on total assets</c:v>
                </c:pt>
                <c:pt idx="2">
                  <c:v>Return on Common Equity </c:v>
                </c:pt>
              </c:strCache>
            </c:strRef>
          </c:cat>
          <c:val>
            <c:numRef>
              <c:f>RATIOS!$I$18:$I$20</c:f>
              <c:numCache>
                <c:formatCode>0%</c:formatCode>
                <c:ptCount val="3"/>
                <c:pt idx="0">
                  <c:v>5.5195494531231189E-2</c:v>
                </c:pt>
                <c:pt idx="1">
                  <c:v>8.0112590324030758E-2</c:v>
                </c:pt>
                <c:pt idx="2">
                  <c:v>-0.75649487010259797</c:v>
                </c:pt>
              </c:numCache>
            </c:numRef>
          </c:val>
          <c:extLst>
            <c:ext xmlns:c16="http://schemas.microsoft.com/office/drawing/2014/chart" uri="{C3380CC4-5D6E-409C-BE32-E72D297353CC}">
              <c16:uniqueId val="{0000001C-DCE0-4A1B-AB7B-510A5071A8B0}"/>
            </c:ext>
          </c:extLst>
        </c:ser>
        <c:ser>
          <c:idx val="5"/>
          <c:order val="1"/>
          <c:tx>
            <c:v>2020</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RATIOS!$B$18:$B$20</c:f>
              <c:strCache>
                <c:ptCount val="3"/>
                <c:pt idx="0">
                  <c:v>Profit Margin</c:v>
                </c:pt>
                <c:pt idx="1">
                  <c:v>Return on total assets</c:v>
                </c:pt>
                <c:pt idx="2">
                  <c:v>Return on Common Equity </c:v>
                </c:pt>
              </c:strCache>
            </c:strRef>
          </c:cat>
          <c:val>
            <c:numRef>
              <c:f>RATIOS!$H$18:$H$20</c:f>
              <c:numCache>
                <c:formatCode>0%</c:formatCode>
                <c:ptCount val="3"/>
                <c:pt idx="0">
                  <c:v>0.14271137039591617</c:v>
                </c:pt>
                <c:pt idx="1">
                  <c:v>0.21137969818211913</c:v>
                </c:pt>
                <c:pt idx="2">
                  <c:v>0.61060597747278156</c:v>
                </c:pt>
              </c:numCache>
            </c:numRef>
          </c:val>
          <c:extLst>
            <c:ext xmlns:c16="http://schemas.microsoft.com/office/drawing/2014/chart" uri="{C3380CC4-5D6E-409C-BE32-E72D297353CC}">
              <c16:uniqueId val="{0000001B-DCE0-4A1B-AB7B-510A5071A8B0}"/>
            </c:ext>
          </c:extLst>
        </c:ser>
        <c:ser>
          <c:idx val="4"/>
          <c:order val="2"/>
          <c:tx>
            <c:v>2021</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RATIOS!$B$18:$B$20</c:f>
              <c:strCache>
                <c:ptCount val="3"/>
                <c:pt idx="0">
                  <c:v>Profit Margin</c:v>
                </c:pt>
                <c:pt idx="1">
                  <c:v>Return on total assets</c:v>
                </c:pt>
                <c:pt idx="2">
                  <c:v>Return on Common Equity </c:v>
                </c:pt>
              </c:strCache>
            </c:strRef>
          </c:cat>
          <c:val>
            <c:numRef>
              <c:f>RATIOS!$G$18:$G$20</c:f>
              <c:numCache>
                <c:formatCode>0%</c:formatCode>
                <c:ptCount val="3"/>
                <c:pt idx="0">
                  <c:v>0.15067587344763142</c:v>
                </c:pt>
                <c:pt idx="1">
                  <c:v>0.19391552440612789</c:v>
                </c:pt>
                <c:pt idx="2">
                  <c:v>0.30462623457718818</c:v>
                </c:pt>
              </c:numCache>
            </c:numRef>
          </c:val>
          <c:extLst>
            <c:ext xmlns:c16="http://schemas.microsoft.com/office/drawing/2014/chart" uri="{C3380CC4-5D6E-409C-BE32-E72D297353CC}">
              <c16:uniqueId val="{0000001A-DCE0-4A1B-AB7B-510A5071A8B0}"/>
            </c:ext>
          </c:extLst>
        </c:ser>
        <c:ser>
          <c:idx val="3"/>
          <c:order val="3"/>
          <c:tx>
            <c:v>2022</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RATIOS!$B$18:$B$20</c:f>
              <c:strCache>
                <c:ptCount val="3"/>
                <c:pt idx="0">
                  <c:v>Profit Margin</c:v>
                </c:pt>
                <c:pt idx="1">
                  <c:v>Return on total assets</c:v>
                </c:pt>
                <c:pt idx="2">
                  <c:v>Return on Common Equity </c:v>
                </c:pt>
              </c:strCache>
            </c:strRef>
          </c:cat>
          <c:val>
            <c:numRef>
              <c:f>RATIOS!$F$18:$F$20</c:f>
              <c:numCache>
                <c:formatCode>0%</c:formatCode>
                <c:ptCount val="3"/>
                <c:pt idx="0">
                  <c:v>5.6226029982033847E-2</c:v>
                </c:pt>
                <c:pt idx="1">
                  <c:v>8.3298584185035732E-2</c:v>
                </c:pt>
                <c:pt idx="2">
                  <c:v>0.14316474648125624</c:v>
                </c:pt>
              </c:numCache>
            </c:numRef>
          </c:val>
          <c:extLst>
            <c:ext xmlns:c16="http://schemas.microsoft.com/office/drawing/2014/chart" uri="{C3380CC4-5D6E-409C-BE32-E72D297353CC}">
              <c16:uniqueId val="{00000019-DCE0-4A1B-AB7B-510A5071A8B0}"/>
            </c:ext>
          </c:extLst>
        </c:ser>
        <c:ser>
          <c:idx val="2"/>
          <c:order val="4"/>
          <c:tx>
            <c:v>2023</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exp"/>
            <c:dispRSqr val="0"/>
            <c:dispEq val="0"/>
          </c:trendline>
          <c:cat>
            <c:strRef>
              <c:f>RATIOS!$B$18:$B$20</c:f>
              <c:strCache>
                <c:ptCount val="3"/>
                <c:pt idx="0">
                  <c:v>Profit Margin</c:v>
                </c:pt>
                <c:pt idx="1">
                  <c:v>Return on total assets</c:v>
                </c:pt>
                <c:pt idx="2">
                  <c:v>Return on Common Equity </c:v>
                </c:pt>
              </c:strCache>
            </c:strRef>
          </c:cat>
          <c:val>
            <c:numRef>
              <c:f>RATIOS!$E$18:$E$20</c:f>
              <c:numCache>
                <c:formatCode>0%</c:formatCode>
                <c:ptCount val="3"/>
                <c:pt idx="0">
                  <c:v>0.10241976761501236</c:v>
                </c:pt>
                <c:pt idx="1">
                  <c:v>0.13096365071631647</c:v>
                </c:pt>
                <c:pt idx="2">
                  <c:v>0.20626248277452999</c:v>
                </c:pt>
              </c:numCache>
            </c:numRef>
          </c:val>
          <c:extLst>
            <c:ext xmlns:c16="http://schemas.microsoft.com/office/drawing/2014/chart" uri="{C3380CC4-5D6E-409C-BE32-E72D297353CC}">
              <c16:uniqueId val="{00000004-DCE0-4A1B-AB7B-510A5071A8B0}"/>
            </c:ext>
          </c:extLst>
        </c:ser>
        <c:dLbls>
          <c:dLblPos val="outEnd"/>
          <c:showLegendKey val="0"/>
          <c:showVal val="1"/>
          <c:showCatName val="0"/>
          <c:showSerName val="0"/>
          <c:showPercent val="0"/>
          <c:showBubbleSize val="0"/>
        </c:dLbls>
        <c:gapWidth val="219"/>
        <c:overlap val="-27"/>
        <c:axId val="84441775"/>
        <c:axId val="84442735"/>
      </c:barChart>
      <c:catAx>
        <c:axId val="844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2735"/>
        <c:crosses val="autoZero"/>
        <c:auto val="0"/>
        <c:lblAlgn val="ctr"/>
        <c:lblOffset val="100"/>
        <c:noMultiLvlLbl val="0"/>
      </c:catAx>
      <c:valAx>
        <c:axId val="84442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1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Regression</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6190288713910758E-2"/>
                  <c:y val="-0.345160396617089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'FUTURE PROJECTION'!$B$6:$B$260</c:f>
              <c:numCache>
                <c:formatCode>m/d/yyyy</c:formatCode>
                <c:ptCount val="255"/>
                <c:pt idx="0">
                  <c:v>45293</c:v>
                </c:pt>
                <c:pt idx="1">
                  <c:v>45294</c:v>
                </c:pt>
                <c:pt idx="2">
                  <c:v>45295</c:v>
                </c:pt>
                <c:pt idx="3">
                  <c:v>45296</c:v>
                </c:pt>
                <c:pt idx="4">
                  <c:v>45299</c:v>
                </c:pt>
                <c:pt idx="5">
                  <c:v>45300</c:v>
                </c:pt>
                <c:pt idx="6">
                  <c:v>45301</c:v>
                </c:pt>
                <c:pt idx="7">
                  <c:v>45302</c:v>
                </c:pt>
                <c:pt idx="8">
                  <c:v>45303</c:v>
                </c:pt>
                <c:pt idx="9">
                  <c:v>45307</c:v>
                </c:pt>
                <c:pt idx="10">
                  <c:v>45308</c:v>
                </c:pt>
                <c:pt idx="11">
                  <c:v>45309</c:v>
                </c:pt>
                <c:pt idx="12">
                  <c:v>45310</c:v>
                </c:pt>
                <c:pt idx="13">
                  <c:v>45313</c:v>
                </c:pt>
                <c:pt idx="14">
                  <c:v>45314</c:v>
                </c:pt>
                <c:pt idx="15">
                  <c:v>45315</c:v>
                </c:pt>
                <c:pt idx="16">
                  <c:v>45316</c:v>
                </c:pt>
                <c:pt idx="17">
                  <c:v>45317</c:v>
                </c:pt>
                <c:pt idx="18">
                  <c:v>45320</c:v>
                </c:pt>
                <c:pt idx="19">
                  <c:v>45321</c:v>
                </c:pt>
                <c:pt idx="20">
                  <c:v>45322</c:v>
                </c:pt>
                <c:pt idx="21">
                  <c:v>45323</c:v>
                </c:pt>
                <c:pt idx="22">
                  <c:v>45324</c:v>
                </c:pt>
                <c:pt idx="23">
                  <c:v>45327</c:v>
                </c:pt>
                <c:pt idx="24">
                  <c:v>45328</c:v>
                </c:pt>
                <c:pt idx="25">
                  <c:v>45329</c:v>
                </c:pt>
                <c:pt idx="26">
                  <c:v>45330</c:v>
                </c:pt>
                <c:pt idx="27">
                  <c:v>45331</c:v>
                </c:pt>
                <c:pt idx="28">
                  <c:v>45334</c:v>
                </c:pt>
                <c:pt idx="29">
                  <c:v>45335</c:v>
                </c:pt>
                <c:pt idx="30">
                  <c:v>45336</c:v>
                </c:pt>
                <c:pt idx="31">
                  <c:v>45337</c:v>
                </c:pt>
                <c:pt idx="32">
                  <c:v>45338</c:v>
                </c:pt>
                <c:pt idx="33">
                  <c:v>45342</c:v>
                </c:pt>
                <c:pt idx="34">
                  <c:v>45343</c:v>
                </c:pt>
                <c:pt idx="35">
                  <c:v>45344</c:v>
                </c:pt>
                <c:pt idx="36">
                  <c:v>45345</c:v>
                </c:pt>
                <c:pt idx="37">
                  <c:v>45348</c:v>
                </c:pt>
                <c:pt idx="38">
                  <c:v>45349</c:v>
                </c:pt>
                <c:pt idx="39">
                  <c:v>45350</c:v>
                </c:pt>
                <c:pt idx="40">
                  <c:v>45351</c:v>
                </c:pt>
                <c:pt idx="41">
                  <c:v>45352</c:v>
                </c:pt>
                <c:pt idx="42">
                  <c:v>45355</c:v>
                </c:pt>
                <c:pt idx="43">
                  <c:v>45356</c:v>
                </c:pt>
                <c:pt idx="44">
                  <c:v>45357</c:v>
                </c:pt>
                <c:pt idx="45">
                  <c:v>45358</c:v>
                </c:pt>
                <c:pt idx="46">
                  <c:v>45359</c:v>
                </c:pt>
                <c:pt idx="47">
                  <c:v>45362</c:v>
                </c:pt>
                <c:pt idx="48">
                  <c:v>45363</c:v>
                </c:pt>
                <c:pt idx="49">
                  <c:v>45364</c:v>
                </c:pt>
                <c:pt idx="50">
                  <c:v>45365</c:v>
                </c:pt>
                <c:pt idx="51">
                  <c:v>45366</c:v>
                </c:pt>
                <c:pt idx="52">
                  <c:v>45369</c:v>
                </c:pt>
                <c:pt idx="53">
                  <c:v>45370</c:v>
                </c:pt>
                <c:pt idx="54">
                  <c:v>45371</c:v>
                </c:pt>
                <c:pt idx="55">
                  <c:v>45372</c:v>
                </c:pt>
                <c:pt idx="56">
                  <c:v>45373</c:v>
                </c:pt>
                <c:pt idx="57">
                  <c:v>45376</c:v>
                </c:pt>
                <c:pt idx="58">
                  <c:v>45377</c:v>
                </c:pt>
                <c:pt idx="59">
                  <c:v>45378</c:v>
                </c:pt>
                <c:pt idx="60">
                  <c:v>45379</c:v>
                </c:pt>
                <c:pt idx="61">
                  <c:v>45383</c:v>
                </c:pt>
                <c:pt idx="62">
                  <c:v>45384</c:v>
                </c:pt>
                <c:pt idx="63">
                  <c:v>45385</c:v>
                </c:pt>
                <c:pt idx="64">
                  <c:v>45386</c:v>
                </c:pt>
                <c:pt idx="65">
                  <c:v>45387</c:v>
                </c:pt>
                <c:pt idx="66">
                  <c:v>45390</c:v>
                </c:pt>
                <c:pt idx="67">
                  <c:v>45391</c:v>
                </c:pt>
                <c:pt idx="68">
                  <c:v>45392</c:v>
                </c:pt>
                <c:pt idx="69">
                  <c:v>45393</c:v>
                </c:pt>
                <c:pt idx="70">
                  <c:v>45394</c:v>
                </c:pt>
                <c:pt idx="71">
                  <c:v>45397</c:v>
                </c:pt>
                <c:pt idx="72">
                  <c:v>45398</c:v>
                </c:pt>
                <c:pt idx="73">
                  <c:v>45399</c:v>
                </c:pt>
                <c:pt idx="74">
                  <c:v>45400</c:v>
                </c:pt>
                <c:pt idx="75">
                  <c:v>45401</c:v>
                </c:pt>
                <c:pt idx="76">
                  <c:v>45404</c:v>
                </c:pt>
                <c:pt idx="77">
                  <c:v>45405</c:v>
                </c:pt>
                <c:pt idx="78">
                  <c:v>45406</c:v>
                </c:pt>
                <c:pt idx="79">
                  <c:v>45407</c:v>
                </c:pt>
                <c:pt idx="80">
                  <c:v>45408</c:v>
                </c:pt>
                <c:pt idx="81">
                  <c:v>45411</c:v>
                </c:pt>
                <c:pt idx="82">
                  <c:v>45412</c:v>
                </c:pt>
                <c:pt idx="83">
                  <c:v>45413</c:v>
                </c:pt>
                <c:pt idx="84">
                  <c:v>45414</c:v>
                </c:pt>
                <c:pt idx="85">
                  <c:v>45415</c:v>
                </c:pt>
                <c:pt idx="86">
                  <c:v>45418</c:v>
                </c:pt>
                <c:pt idx="87">
                  <c:v>45419</c:v>
                </c:pt>
                <c:pt idx="88">
                  <c:v>45420</c:v>
                </c:pt>
                <c:pt idx="89">
                  <c:v>45421</c:v>
                </c:pt>
                <c:pt idx="90">
                  <c:v>45422</c:v>
                </c:pt>
                <c:pt idx="91">
                  <c:v>45425</c:v>
                </c:pt>
                <c:pt idx="92">
                  <c:v>45426</c:v>
                </c:pt>
                <c:pt idx="93">
                  <c:v>45427</c:v>
                </c:pt>
                <c:pt idx="94">
                  <c:v>45428</c:v>
                </c:pt>
                <c:pt idx="95">
                  <c:v>45429</c:v>
                </c:pt>
                <c:pt idx="96">
                  <c:v>45432</c:v>
                </c:pt>
                <c:pt idx="97">
                  <c:v>45433</c:v>
                </c:pt>
                <c:pt idx="98">
                  <c:v>45434</c:v>
                </c:pt>
                <c:pt idx="99">
                  <c:v>45435</c:v>
                </c:pt>
                <c:pt idx="100">
                  <c:v>45436</c:v>
                </c:pt>
                <c:pt idx="101">
                  <c:v>45440</c:v>
                </c:pt>
                <c:pt idx="102">
                  <c:v>45441</c:v>
                </c:pt>
                <c:pt idx="103">
                  <c:v>45442</c:v>
                </c:pt>
                <c:pt idx="104">
                  <c:v>45443</c:v>
                </c:pt>
                <c:pt idx="105">
                  <c:v>45446</c:v>
                </c:pt>
                <c:pt idx="106">
                  <c:v>45447</c:v>
                </c:pt>
                <c:pt idx="107">
                  <c:v>45448</c:v>
                </c:pt>
                <c:pt idx="108">
                  <c:v>45449</c:v>
                </c:pt>
                <c:pt idx="109">
                  <c:v>45450</c:v>
                </c:pt>
                <c:pt idx="110">
                  <c:v>45453</c:v>
                </c:pt>
                <c:pt idx="111">
                  <c:v>45454</c:v>
                </c:pt>
                <c:pt idx="112">
                  <c:v>45455</c:v>
                </c:pt>
                <c:pt idx="113">
                  <c:v>45456</c:v>
                </c:pt>
                <c:pt idx="114">
                  <c:v>45457</c:v>
                </c:pt>
                <c:pt idx="115">
                  <c:v>45460</c:v>
                </c:pt>
                <c:pt idx="116">
                  <c:v>45461</c:v>
                </c:pt>
                <c:pt idx="117">
                  <c:v>45463</c:v>
                </c:pt>
                <c:pt idx="118">
                  <c:v>45464</c:v>
                </c:pt>
                <c:pt idx="119">
                  <c:v>45467</c:v>
                </c:pt>
                <c:pt idx="120">
                  <c:v>45468</c:v>
                </c:pt>
                <c:pt idx="121">
                  <c:v>45469</c:v>
                </c:pt>
                <c:pt idx="122">
                  <c:v>45470</c:v>
                </c:pt>
                <c:pt idx="123">
                  <c:v>45471</c:v>
                </c:pt>
                <c:pt idx="124">
                  <c:v>45474</c:v>
                </c:pt>
                <c:pt idx="125">
                  <c:v>45475</c:v>
                </c:pt>
                <c:pt idx="126">
                  <c:v>45476</c:v>
                </c:pt>
                <c:pt idx="127">
                  <c:v>45478</c:v>
                </c:pt>
                <c:pt idx="128">
                  <c:v>45481</c:v>
                </c:pt>
                <c:pt idx="129">
                  <c:v>45482</c:v>
                </c:pt>
                <c:pt idx="130">
                  <c:v>45483</c:v>
                </c:pt>
                <c:pt idx="131">
                  <c:v>45484</c:v>
                </c:pt>
                <c:pt idx="132">
                  <c:v>45485</c:v>
                </c:pt>
                <c:pt idx="133">
                  <c:v>45488</c:v>
                </c:pt>
                <c:pt idx="134">
                  <c:v>45489</c:v>
                </c:pt>
                <c:pt idx="135">
                  <c:v>45490</c:v>
                </c:pt>
                <c:pt idx="136">
                  <c:v>45491</c:v>
                </c:pt>
                <c:pt idx="137">
                  <c:v>45492</c:v>
                </c:pt>
                <c:pt idx="138">
                  <c:v>45495</c:v>
                </c:pt>
                <c:pt idx="139">
                  <c:v>45496</c:v>
                </c:pt>
                <c:pt idx="140">
                  <c:v>45497</c:v>
                </c:pt>
                <c:pt idx="141">
                  <c:v>45498</c:v>
                </c:pt>
                <c:pt idx="142">
                  <c:v>45499</c:v>
                </c:pt>
                <c:pt idx="143">
                  <c:v>45502</c:v>
                </c:pt>
                <c:pt idx="144">
                  <c:v>45503</c:v>
                </c:pt>
                <c:pt idx="145">
                  <c:v>45504</c:v>
                </c:pt>
                <c:pt idx="146">
                  <c:v>45505</c:v>
                </c:pt>
                <c:pt idx="147">
                  <c:v>45506</c:v>
                </c:pt>
                <c:pt idx="148">
                  <c:v>45509</c:v>
                </c:pt>
                <c:pt idx="149">
                  <c:v>45510</c:v>
                </c:pt>
                <c:pt idx="150">
                  <c:v>45511</c:v>
                </c:pt>
                <c:pt idx="151">
                  <c:v>45512</c:v>
                </c:pt>
                <c:pt idx="152">
                  <c:v>45513</c:v>
                </c:pt>
                <c:pt idx="153">
                  <c:v>45516</c:v>
                </c:pt>
                <c:pt idx="154">
                  <c:v>45517</c:v>
                </c:pt>
                <c:pt idx="155">
                  <c:v>45518</c:v>
                </c:pt>
                <c:pt idx="156">
                  <c:v>45519</c:v>
                </c:pt>
                <c:pt idx="157">
                  <c:v>45520</c:v>
                </c:pt>
                <c:pt idx="158">
                  <c:v>45523</c:v>
                </c:pt>
                <c:pt idx="159">
                  <c:v>45524</c:v>
                </c:pt>
                <c:pt idx="160">
                  <c:v>45525</c:v>
                </c:pt>
                <c:pt idx="161">
                  <c:v>45526</c:v>
                </c:pt>
                <c:pt idx="162">
                  <c:v>45527</c:v>
                </c:pt>
                <c:pt idx="163">
                  <c:v>45530</c:v>
                </c:pt>
                <c:pt idx="164">
                  <c:v>45531</c:v>
                </c:pt>
                <c:pt idx="165">
                  <c:v>45532</c:v>
                </c:pt>
                <c:pt idx="166">
                  <c:v>45533</c:v>
                </c:pt>
                <c:pt idx="167">
                  <c:v>45534</c:v>
                </c:pt>
                <c:pt idx="168">
                  <c:v>45538</c:v>
                </c:pt>
                <c:pt idx="169">
                  <c:v>45539</c:v>
                </c:pt>
                <c:pt idx="170">
                  <c:v>45540</c:v>
                </c:pt>
                <c:pt idx="171">
                  <c:v>45541</c:v>
                </c:pt>
                <c:pt idx="172">
                  <c:v>45544</c:v>
                </c:pt>
                <c:pt idx="173">
                  <c:v>45545</c:v>
                </c:pt>
                <c:pt idx="174">
                  <c:v>45546</c:v>
                </c:pt>
                <c:pt idx="175">
                  <c:v>45547</c:v>
                </c:pt>
                <c:pt idx="176">
                  <c:v>45548</c:v>
                </c:pt>
                <c:pt idx="177">
                  <c:v>45551</c:v>
                </c:pt>
                <c:pt idx="178">
                  <c:v>45552</c:v>
                </c:pt>
                <c:pt idx="179">
                  <c:v>45553</c:v>
                </c:pt>
                <c:pt idx="180">
                  <c:v>45554</c:v>
                </c:pt>
                <c:pt idx="181">
                  <c:v>45555</c:v>
                </c:pt>
                <c:pt idx="182">
                  <c:v>45558</c:v>
                </c:pt>
                <c:pt idx="183">
                  <c:v>45559</c:v>
                </c:pt>
                <c:pt idx="184">
                  <c:v>45560</c:v>
                </c:pt>
                <c:pt idx="185">
                  <c:v>45561</c:v>
                </c:pt>
                <c:pt idx="186">
                  <c:v>45562</c:v>
                </c:pt>
                <c:pt idx="187">
                  <c:v>45565</c:v>
                </c:pt>
                <c:pt idx="188">
                  <c:v>45566</c:v>
                </c:pt>
                <c:pt idx="189">
                  <c:v>45567</c:v>
                </c:pt>
                <c:pt idx="190">
                  <c:v>45568</c:v>
                </c:pt>
                <c:pt idx="191">
                  <c:v>45569</c:v>
                </c:pt>
                <c:pt idx="192">
                  <c:v>45572</c:v>
                </c:pt>
                <c:pt idx="193">
                  <c:v>45573</c:v>
                </c:pt>
                <c:pt idx="194">
                  <c:v>45574</c:v>
                </c:pt>
                <c:pt idx="195">
                  <c:v>45575</c:v>
                </c:pt>
                <c:pt idx="196">
                  <c:v>45576</c:v>
                </c:pt>
                <c:pt idx="197">
                  <c:v>45579</c:v>
                </c:pt>
                <c:pt idx="198">
                  <c:v>45580</c:v>
                </c:pt>
                <c:pt idx="199">
                  <c:v>45581</c:v>
                </c:pt>
                <c:pt idx="200">
                  <c:v>45582</c:v>
                </c:pt>
                <c:pt idx="201">
                  <c:v>45583</c:v>
                </c:pt>
                <c:pt idx="202">
                  <c:v>45586</c:v>
                </c:pt>
                <c:pt idx="203">
                  <c:v>45587</c:v>
                </c:pt>
                <c:pt idx="204">
                  <c:v>45588</c:v>
                </c:pt>
                <c:pt idx="205">
                  <c:v>45589</c:v>
                </c:pt>
                <c:pt idx="206">
                  <c:v>45590</c:v>
                </c:pt>
                <c:pt idx="207">
                  <c:v>45593</c:v>
                </c:pt>
                <c:pt idx="208">
                  <c:v>45594</c:v>
                </c:pt>
                <c:pt idx="209">
                  <c:v>45595</c:v>
                </c:pt>
                <c:pt idx="210">
                  <c:v>45596</c:v>
                </c:pt>
                <c:pt idx="211">
                  <c:v>45597</c:v>
                </c:pt>
                <c:pt idx="212">
                  <c:v>45600</c:v>
                </c:pt>
                <c:pt idx="213">
                  <c:v>45601</c:v>
                </c:pt>
                <c:pt idx="214">
                  <c:v>45602</c:v>
                </c:pt>
                <c:pt idx="215">
                  <c:v>45603</c:v>
                </c:pt>
                <c:pt idx="216">
                  <c:v>45604</c:v>
                </c:pt>
                <c:pt idx="217">
                  <c:v>45607</c:v>
                </c:pt>
                <c:pt idx="218">
                  <c:v>45608</c:v>
                </c:pt>
                <c:pt idx="219">
                  <c:v>45609</c:v>
                </c:pt>
                <c:pt idx="220">
                  <c:v>45610</c:v>
                </c:pt>
                <c:pt idx="221">
                  <c:v>45611</c:v>
                </c:pt>
                <c:pt idx="222">
                  <c:v>45614</c:v>
                </c:pt>
                <c:pt idx="223">
                  <c:v>45615</c:v>
                </c:pt>
                <c:pt idx="224">
                  <c:v>45616</c:v>
                </c:pt>
                <c:pt idx="225">
                  <c:v>45617</c:v>
                </c:pt>
                <c:pt idx="226">
                  <c:v>45618</c:v>
                </c:pt>
                <c:pt idx="227">
                  <c:v>45621</c:v>
                </c:pt>
                <c:pt idx="228">
                  <c:v>45622</c:v>
                </c:pt>
                <c:pt idx="229">
                  <c:v>45623</c:v>
                </c:pt>
                <c:pt idx="230">
                  <c:v>45625</c:v>
                </c:pt>
                <c:pt idx="231">
                  <c:v>45628</c:v>
                </c:pt>
                <c:pt idx="232">
                  <c:v>45629</c:v>
                </c:pt>
                <c:pt idx="233">
                  <c:v>45630</c:v>
                </c:pt>
                <c:pt idx="234">
                  <c:v>45631</c:v>
                </c:pt>
                <c:pt idx="235">
                  <c:v>45632</c:v>
                </c:pt>
                <c:pt idx="236">
                  <c:v>45635</c:v>
                </c:pt>
                <c:pt idx="237">
                  <c:v>45636</c:v>
                </c:pt>
                <c:pt idx="238">
                  <c:v>45637</c:v>
                </c:pt>
                <c:pt idx="239">
                  <c:v>45638</c:v>
                </c:pt>
                <c:pt idx="240">
                  <c:v>45639</c:v>
                </c:pt>
                <c:pt idx="241">
                  <c:v>45642</c:v>
                </c:pt>
                <c:pt idx="242">
                  <c:v>45643</c:v>
                </c:pt>
                <c:pt idx="243">
                  <c:v>45644</c:v>
                </c:pt>
                <c:pt idx="244">
                  <c:v>45645</c:v>
                </c:pt>
                <c:pt idx="245">
                  <c:v>45646</c:v>
                </c:pt>
                <c:pt idx="246">
                  <c:v>45649</c:v>
                </c:pt>
                <c:pt idx="247">
                  <c:v>45650</c:v>
                </c:pt>
                <c:pt idx="248">
                  <c:v>45652</c:v>
                </c:pt>
                <c:pt idx="249">
                  <c:v>45653</c:v>
                </c:pt>
                <c:pt idx="250">
                  <c:v>45656</c:v>
                </c:pt>
                <c:pt idx="251">
                  <c:v>45657</c:v>
                </c:pt>
              </c:numCache>
            </c:numRef>
          </c:xVal>
          <c:yVal>
            <c:numRef>
              <c:f>'FUTURE PROJECTION'!$C$6:$C$260</c:f>
              <c:numCache>
                <c:formatCode>General</c:formatCode>
                <c:ptCount val="255"/>
                <c:pt idx="0">
                  <c:v>50.369998931884702</c:v>
                </c:pt>
                <c:pt idx="1">
                  <c:v>47.139999389648402</c:v>
                </c:pt>
                <c:pt idx="2">
                  <c:v>46.080001831054602</c:v>
                </c:pt>
                <c:pt idx="3">
                  <c:v>45.569999694824197</c:v>
                </c:pt>
                <c:pt idx="4">
                  <c:v>46.520000457763601</c:v>
                </c:pt>
                <c:pt idx="5">
                  <c:v>46.610000610351499</c:v>
                </c:pt>
                <c:pt idx="6">
                  <c:v>47.400001525878899</c:v>
                </c:pt>
                <c:pt idx="7">
                  <c:v>46.470001220703097</c:v>
                </c:pt>
                <c:pt idx="8">
                  <c:v>45.75</c:v>
                </c:pt>
                <c:pt idx="9">
                  <c:v>45.840000152587798</c:v>
                </c:pt>
                <c:pt idx="10">
                  <c:v>44.680000305175703</c:v>
                </c:pt>
                <c:pt idx="11">
                  <c:v>44.900001525878899</c:v>
                </c:pt>
                <c:pt idx="12">
                  <c:v>45.790000915527301</c:v>
                </c:pt>
                <c:pt idx="13">
                  <c:v>46.919998168945298</c:v>
                </c:pt>
                <c:pt idx="14">
                  <c:v>46.439998626708899</c:v>
                </c:pt>
                <c:pt idx="15">
                  <c:v>44.7299995422363</c:v>
                </c:pt>
                <c:pt idx="16">
                  <c:v>45.419998168945298</c:v>
                </c:pt>
                <c:pt idx="17">
                  <c:v>45.7299995422363</c:v>
                </c:pt>
                <c:pt idx="18">
                  <c:v>46.389999389648402</c:v>
                </c:pt>
                <c:pt idx="19">
                  <c:v>45.310001373291001</c:v>
                </c:pt>
                <c:pt idx="20">
                  <c:v>43.970001220703097</c:v>
                </c:pt>
                <c:pt idx="21">
                  <c:v>43.680000305175703</c:v>
                </c:pt>
                <c:pt idx="22">
                  <c:v>44.169998168945298</c:v>
                </c:pt>
                <c:pt idx="23">
                  <c:v>42.770000457763601</c:v>
                </c:pt>
                <c:pt idx="24">
                  <c:v>42.840000152587798</c:v>
                </c:pt>
                <c:pt idx="25">
                  <c:v>43.529998779296797</c:v>
                </c:pt>
                <c:pt idx="26">
                  <c:v>45.459999084472599</c:v>
                </c:pt>
                <c:pt idx="27">
                  <c:v>45.849998474121001</c:v>
                </c:pt>
                <c:pt idx="28">
                  <c:v>49</c:v>
                </c:pt>
                <c:pt idx="29">
                  <c:v>47.330001831054602</c:v>
                </c:pt>
                <c:pt idx="30">
                  <c:v>48.200000762939403</c:v>
                </c:pt>
                <c:pt idx="31">
                  <c:v>41.529998779296797</c:v>
                </c:pt>
                <c:pt idx="32">
                  <c:v>39.119998931884702</c:v>
                </c:pt>
                <c:pt idx="33">
                  <c:v>38.569999694824197</c:v>
                </c:pt>
                <c:pt idx="34">
                  <c:v>38.430000305175703</c:v>
                </c:pt>
                <c:pt idx="35">
                  <c:v>37.919998168945298</c:v>
                </c:pt>
                <c:pt idx="36">
                  <c:v>37.529998779296797</c:v>
                </c:pt>
                <c:pt idx="37">
                  <c:v>38.799999237060497</c:v>
                </c:pt>
                <c:pt idx="38">
                  <c:v>40.029998779296797</c:v>
                </c:pt>
                <c:pt idx="39">
                  <c:v>41.509998321533203</c:v>
                </c:pt>
                <c:pt idx="40">
                  <c:v>41.040000915527301</c:v>
                </c:pt>
                <c:pt idx="41">
                  <c:v>41.279998779296797</c:v>
                </c:pt>
                <c:pt idx="42">
                  <c:v>40.950000762939403</c:v>
                </c:pt>
                <c:pt idx="43">
                  <c:v>40.029998779296797</c:v>
                </c:pt>
                <c:pt idx="44">
                  <c:v>38.959999084472599</c:v>
                </c:pt>
                <c:pt idx="45">
                  <c:v>38.909999847412102</c:v>
                </c:pt>
                <c:pt idx="46">
                  <c:v>38.830001831054602</c:v>
                </c:pt>
                <c:pt idx="47">
                  <c:v>38.490001678466797</c:v>
                </c:pt>
                <c:pt idx="48">
                  <c:v>37.810001373291001</c:v>
                </c:pt>
                <c:pt idx="49">
                  <c:v>38.279998779296797</c:v>
                </c:pt>
                <c:pt idx="50">
                  <c:v>37.159999847412102</c:v>
                </c:pt>
                <c:pt idx="51">
                  <c:v>37.049999237060497</c:v>
                </c:pt>
                <c:pt idx="52">
                  <c:v>36.610000610351499</c:v>
                </c:pt>
                <c:pt idx="53">
                  <c:v>36.490001678466797</c:v>
                </c:pt>
                <c:pt idx="54">
                  <c:v>37.419998168945298</c:v>
                </c:pt>
                <c:pt idx="55">
                  <c:v>37.619998931884702</c:v>
                </c:pt>
                <c:pt idx="56">
                  <c:v>37.330001831054602</c:v>
                </c:pt>
                <c:pt idx="57">
                  <c:v>36.959999084472599</c:v>
                </c:pt>
                <c:pt idx="58">
                  <c:v>36.919998168945298</c:v>
                </c:pt>
                <c:pt idx="59">
                  <c:v>38.340000152587798</c:v>
                </c:pt>
                <c:pt idx="60">
                  <c:v>38.549999237060497</c:v>
                </c:pt>
                <c:pt idx="61">
                  <c:v>38.380001068115199</c:v>
                </c:pt>
                <c:pt idx="62">
                  <c:v>38.130001068115199</c:v>
                </c:pt>
                <c:pt idx="63">
                  <c:v>39.369998931884702</c:v>
                </c:pt>
                <c:pt idx="64">
                  <c:v>37.909999847412102</c:v>
                </c:pt>
                <c:pt idx="65">
                  <c:v>38</c:v>
                </c:pt>
                <c:pt idx="66">
                  <c:v>38.040000915527301</c:v>
                </c:pt>
                <c:pt idx="67">
                  <c:v>39.159999847412102</c:v>
                </c:pt>
                <c:pt idx="68">
                  <c:v>38.680000305175703</c:v>
                </c:pt>
                <c:pt idx="69">
                  <c:v>38.759998321533203</c:v>
                </c:pt>
                <c:pt idx="70">
                  <c:v>37.860000610351499</c:v>
                </c:pt>
                <c:pt idx="71">
                  <c:v>37.520000457763601</c:v>
                </c:pt>
                <c:pt idx="72">
                  <c:v>37.709999084472599</c:v>
                </c:pt>
                <c:pt idx="73">
                  <c:v>37.029998779296797</c:v>
                </c:pt>
                <c:pt idx="74">
                  <c:v>37</c:v>
                </c:pt>
                <c:pt idx="75">
                  <c:v>37.290000915527301</c:v>
                </c:pt>
                <c:pt idx="76">
                  <c:v>36.360000610351499</c:v>
                </c:pt>
                <c:pt idx="77">
                  <c:v>36.270000457763601</c:v>
                </c:pt>
                <c:pt idx="78">
                  <c:v>35.669998168945298</c:v>
                </c:pt>
                <c:pt idx="79">
                  <c:v>35.580001831054602</c:v>
                </c:pt>
                <c:pt idx="80">
                  <c:v>36.150001525878899</c:v>
                </c:pt>
                <c:pt idx="81">
                  <c:v>37</c:v>
                </c:pt>
                <c:pt idx="82">
                  <c:v>35.720001220703097</c:v>
                </c:pt>
                <c:pt idx="83">
                  <c:v>34.709999084472599</c:v>
                </c:pt>
                <c:pt idx="84">
                  <c:v>34.389999389648402</c:v>
                </c:pt>
                <c:pt idx="85">
                  <c:v>34.610000610351499</c:v>
                </c:pt>
                <c:pt idx="86">
                  <c:v>34.970001220703097</c:v>
                </c:pt>
                <c:pt idx="87">
                  <c:v>35.560001373291001</c:v>
                </c:pt>
                <c:pt idx="88">
                  <c:v>34.810001373291001</c:v>
                </c:pt>
                <c:pt idx="89">
                  <c:v>39.259998321533203</c:v>
                </c:pt>
                <c:pt idx="90">
                  <c:v>39.669998168945298</c:v>
                </c:pt>
                <c:pt idx="91">
                  <c:v>40.529998779296797</c:v>
                </c:pt>
                <c:pt idx="92">
                  <c:v>41.909999847412102</c:v>
                </c:pt>
                <c:pt idx="93">
                  <c:v>41.069999694824197</c:v>
                </c:pt>
                <c:pt idx="94">
                  <c:v>40.599998474121001</c:v>
                </c:pt>
                <c:pt idx="95">
                  <c:v>39.5</c:v>
                </c:pt>
                <c:pt idx="96">
                  <c:v>39.159999847412102</c:v>
                </c:pt>
                <c:pt idx="97">
                  <c:v>40.080001831054602</c:v>
                </c:pt>
                <c:pt idx="98">
                  <c:v>38.770000457763601</c:v>
                </c:pt>
                <c:pt idx="99">
                  <c:v>37.939998626708899</c:v>
                </c:pt>
                <c:pt idx="100">
                  <c:v>38.209999084472599</c:v>
                </c:pt>
                <c:pt idx="101">
                  <c:v>39.349998474121001</c:v>
                </c:pt>
                <c:pt idx="102">
                  <c:v>38.819999694824197</c:v>
                </c:pt>
                <c:pt idx="103">
                  <c:v>39.799999237060497</c:v>
                </c:pt>
                <c:pt idx="104">
                  <c:v>40.740001678466797</c:v>
                </c:pt>
                <c:pt idx="105">
                  <c:v>41.740001678466797</c:v>
                </c:pt>
                <c:pt idx="106">
                  <c:v>42.159999847412102</c:v>
                </c:pt>
                <c:pt idx="107">
                  <c:v>43.75</c:v>
                </c:pt>
                <c:pt idx="108">
                  <c:v>43.740001678466797</c:v>
                </c:pt>
                <c:pt idx="109">
                  <c:v>43.029998779296797</c:v>
                </c:pt>
                <c:pt idx="110">
                  <c:v>42.909999847412102</c:v>
                </c:pt>
                <c:pt idx="111">
                  <c:v>42.639999389648402</c:v>
                </c:pt>
                <c:pt idx="112">
                  <c:v>42.720001220703097</c:v>
                </c:pt>
                <c:pt idx="113">
                  <c:v>41.520000457763601</c:v>
                </c:pt>
                <c:pt idx="114">
                  <c:v>40.080001831054602</c:v>
                </c:pt>
                <c:pt idx="115">
                  <c:v>41.080001831054602</c:v>
                </c:pt>
                <c:pt idx="116">
                  <c:v>40.380001068115199</c:v>
                </c:pt>
                <c:pt idx="117">
                  <c:v>41</c:v>
                </c:pt>
                <c:pt idx="118">
                  <c:v>40.939998626708899</c:v>
                </c:pt>
                <c:pt idx="119">
                  <c:v>40.209999084472599</c:v>
                </c:pt>
                <c:pt idx="120">
                  <c:v>39.400001525878899</c:v>
                </c:pt>
                <c:pt idx="121">
                  <c:v>39.9799995422363</c:v>
                </c:pt>
                <c:pt idx="122">
                  <c:v>39.310001373291001</c:v>
                </c:pt>
                <c:pt idx="123">
                  <c:v>38.150001525878899</c:v>
                </c:pt>
                <c:pt idx="124">
                  <c:v>36.939998626708899</c:v>
                </c:pt>
                <c:pt idx="125">
                  <c:v>37.200000762939403</c:v>
                </c:pt>
                <c:pt idx="126">
                  <c:v>37.209999084472599</c:v>
                </c:pt>
                <c:pt idx="127">
                  <c:v>37.189998626708899</c:v>
                </c:pt>
                <c:pt idx="128">
                  <c:v>37.560001373291001</c:v>
                </c:pt>
                <c:pt idx="129">
                  <c:v>36.299999237060497</c:v>
                </c:pt>
                <c:pt idx="130">
                  <c:v>37.389999389648402</c:v>
                </c:pt>
                <c:pt idx="131">
                  <c:v>39.630001068115199</c:v>
                </c:pt>
                <c:pt idx="132">
                  <c:v>40.139999389648402</c:v>
                </c:pt>
                <c:pt idx="133">
                  <c:v>39.139999389648402</c:v>
                </c:pt>
                <c:pt idx="134">
                  <c:v>39.849998474121001</c:v>
                </c:pt>
                <c:pt idx="135">
                  <c:v>39.830001831054602</c:v>
                </c:pt>
                <c:pt idx="136">
                  <c:v>39.25</c:v>
                </c:pt>
                <c:pt idx="137">
                  <c:v>38.990001678466797</c:v>
                </c:pt>
                <c:pt idx="138">
                  <c:v>37.990001678466797</c:v>
                </c:pt>
                <c:pt idx="139">
                  <c:v>37.4799995422363</c:v>
                </c:pt>
                <c:pt idx="140">
                  <c:v>36.569999694824197</c:v>
                </c:pt>
                <c:pt idx="141">
                  <c:v>37.7299995422363</c:v>
                </c:pt>
                <c:pt idx="142">
                  <c:v>39.090000152587798</c:v>
                </c:pt>
                <c:pt idx="143">
                  <c:v>39.849998474121001</c:v>
                </c:pt>
                <c:pt idx="144">
                  <c:v>40.610000610351499</c:v>
                </c:pt>
                <c:pt idx="145">
                  <c:v>41.349998474121001</c:v>
                </c:pt>
                <c:pt idx="146">
                  <c:v>40.299999237060497</c:v>
                </c:pt>
                <c:pt idx="147">
                  <c:v>39.389999389648402</c:v>
                </c:pt>
                <c:pt idx="148">
                  <c:v>38.060001373291001</c:v>
                </c:pt>
                <c:pt idx="149">
                  <c:v>38.490001678466797</c:v>
                </c:pt>
                <c:pt idx="150">
                  <c:v>37.029998779296797</c:v>
                </c:pt>
                <c:pt idx="151">
                  <c:v>43.119998931884702</c:v>
                </c:pt>
                <c:pt idx="152">
                  <c:v>40.9799995422363</c:v>
                </c:pt>
                <c:pt idx="153">
                  <c:v>39.75</c:v>
                </c:pt>
                <c:pt idx="154">
                  <c:v>41.689998626708899</c:v>
                </c:pt>
                <c:pt idx="155">
                  <c:v>40.009998321533203</c:v>
                </c:pt>
                <c:pt idx="156">
                  <c:v>41.950000762939403</c:v>
                </c:pt>
                <c:pt idx="157">
                  <c:v>41.610000610351499</c:v>
                </c:pt>
                <c:pt idx="158">
                  <c:v>40.810001373291001</c:v>
                </c:pt>
                <c:pt idx="159">
                  <c:v>39.759998321533203</c:v>
                </c:pt>
                <c:pt idx="160">
                  <c:v>41.080001831054602</c:v>
                </c:pt>
                <c:pt idx="161">
                  <c:v>40.560001373291001</c:v>
                </c:pt>
                <c:pt idx="162">
                  <c:v>40.740001678466797</c:v>
                </c:pt>
                <c:pt idx="163">
                  <c:v>40.939998626708899</c:v>
                </c:pt>
                <c:pt idx="164">
                  <c:v>40.400001525878899</c:v>
                </c:pt>
                <c:pt idx="165">
                  <c:v>39.580001831054602</c:v>
                </c:pt>
                <c:pt idx="166">
                  <c:v>40.369998931884702</c:v>
                </c:pt>
                <c:pt idx="167">
                  <c:v>40.319999694824197</c:v>
                </c:pt>
                <c:pt idx="168">
                  <c:v>39.099998474121001</c:v>
                </c:pt>
                <c:pt idx="169">
                  <c:v>38.520000457763601</c:v>
                </c:pt>
                <c:pt idx="170">
                  <c:v>37.9799995422363</c:v>
                </c:pt>
                <c:pt idx="171">
                  <c:v>37.310001373291001</c:v>
                </c:pt>
                <c:pt idx="172">
                  <c:v>36.270000457763601</c:v>
                </c:pt>
                <c:pt idx="173">
                  <c:v>36.069999694824197</c:v>
                </c:pt>
                <c:pt idx="174">
                  <c:v>37.459999084472599</c:v>
                </c:pt>
                <c:pt idx="175">
                  <c:v>37.919998168945298</c:v>
                </c:pt>
                <c:pt idx="176">
                  <c:v>39.060001373291001</c:v>
                </c:pt>
                <c:pt idx="177">
                  <c:v>39.2299995422363</c:v>
                </c:pt>
                <c:pt idx="178">
                  <c:v>39.270000457763601</c:v>
                </c:pt>
                <c:pt idx="179">
                  <c:v>39.060001373291001</c:v>
                </c:pt>
                <c:pt idx="180">
                  <c:v>39.959999084472599</c:v>
                </c:pt>
                <c:pt idx="181">
                  <c:v>39.770000457763601</c:v>
                </c:pt>
                <c:pt idx="182">
                  <c:v>39.119998931884702</c:v>
                </c:pt>
                <c:pt idx="183">
                  <c:v>39.099998474121001</c:v>
                </c:pt>
                <c:pt idx="184">
                  <c:v>38.680000305175703</c:v>
                </c:pt>
                <c:pt idx="185">
                  <c:v>40.380001068115199</c:v>
                </c:pt>
                <c:pt idx="186">
                  <c:v>40.680000305175703</c:v>
                </c:pt>
                <c:pt idx="187">
                  <c:v>41.029998779296797</c:v>
                </c:pt>
                <c:pt idx="188">
                  <c:v>40.779998779296797</c:v>
                </c:pt>
                <c:pt idx="189">
                  <c:v>40.75</c:v>
                </c:pt>
                <c:pt idx="190">
                  <c:v>40.590000152587798</c:v>
                </c:pt>
                <c:pt idx="191">
                  <c:v>40.889999389648402</c:v>
                </c:pt>
                <c:pt idx="192">
                  <c:v>41.630001068115199</c:v>
                </c:pt>
                <c:pt idx="193">
                  <c:v>41.650001525878899</c:v>
                </c:pt>
                <c:pt idx="194">
                  <c:v>41.680000305175703</c:v>
                </c:pt>
                <c:pt idx="195">
                  <c:v>42.110000610351499</c:v>
                </c:pt>
                <c:pt idx="196">
                  <c:v>42.040000915527301</c:v>
                </c:pt>
                <c:pt idx="197">
                  <c:v>41.009998321533203</c:v>
                </c:pt>
                <c:pt idx="198">
                  <c:v>41.389999389648402</c:v>
                </c:pt>
                <c:pt idx="199">
                  <c:v>40.569999694824197</c:v>
                </c:pt>
                <c:pt idx="200">
                  <c:v>39.529998779296797</c:v>
                </c:pt>
                <c:pt idx="201">
                  <c:v>38.430000305175703</c:v>
                </c:pt>
                <c:pt idx="202">
                  <c:v>37.139999389648402</c:v>
                </c:pt>
                <c:pt idx="203">
                  <c:v>36.580001831054602</c:v>
                </c:pt>
                <c:pt idx="204">
                  <c:v>36.009998321533203</c:v>
                </c:pt>
                <c:pt idx="205">
                  <c:v>36.380001068115199</c:v>
                </c:pt>
                <c:pt idx="206">
                  <c:v>35.700000762939403</c:v>
                </c:pt>
                <c:pt idx="207">
                  <c:v>35.840000152587798</c:v>
                </c:pt>
                <c:pt idx="208">
                  <c:v>35.669998168945298</c:v>
                </c:pt>
                <c:pt idx="209">
                  <c:v>35.7299995422363</c:v>
                </c:pt>
                <c:pt idx="210">
                  <c:v>35.209999084472599</c:v>
                </c:pt>
                <c:pt idx="211">
                  <c:v>35.419998168945298</c:v>
                </c:pt>
                <c:pt idx="212">
                  <c:v>36.740001678466797</c:v>
                </c:pt>
                <c:pt idx="213">
                  <c:v>37.25</c:v>
                </c:pt>
                <c:pt idx="214">
                  <c:v>36.130001068115199</c:v>
                </c:pt>
                <c:pt idx="215">
                  <c:v>38.869998931884702</c:v>
                </c:pt>
                <c:pt idx="216">
                  <c:v>38.659999847412102</c:v>
                </c:pt>
                <c:pt idx="217">
                  <c:v>41.290000915527301</c:v>
                </c:pt>
                <c:pt idx="218">
                  <c:v>41.380001068115199</c:v>
                </c:pt>
                <c:pt idx="219">
                  <c:v>40.650001525878899</c:v>
                </c:pt>
                <c:pt idx="220">
                  <c:v>38.720001220703097</c:v>
                </c:pt>
                <c:pt idx="221">
                  <c:v>38.159999847412102</c:v>
                </c:pt>
                <c:pt idx="222">
                  <c:v>37.759998321533203</c:v>
                </c:pt>
                <c:pt idx="223">
                  <c:v>38.009998321533203</c:v>
                </c:pt>
                <c:pt idx="224">
                  <c:v>37.2299995422363</c:v>
                </c:pt>
                <c:pt idx="225">
                  <c:v>38.5</c:v>
                </c:pt>
                <c:pt idx="226">
                  <c:v>39.610000610351499</c:v>
                </c:pt>
                <c:pt idx="227">
                  <c:v>40.520000457763601</c:v>
                </c:pt>
                <c:pt idx="228">
                  <c:v>39.819999694824197</c:v>
                </c:pt>
                <c:pt idx="229">
                  <c:v>40.330001831054602</c:v>
                </c:pt>
                <c:pt idx="230">
                  <c:v>40.369998931884702</c:v>
                </c:pt>
                <c:pt idx="231">
                  <c:v>41.200000762939403</c:v>
                </c:pt>
                <c:pt idx="232">
                  <c:v>41.290000915527301</c:v>
                </c:pt>
                <c:pt idx="233">
                  <c:v>42.700000762939403</c:v>
                </c:pt>
                <c:pt idx="234">
                  <c:v>41.610000610351499</c:v>
                </c:pt>
                <c:pt idx="235">
                  <c:v>42.439998626708899</c:v>
                </c:pt>
                <c:pt idx="236">
                  <c:v>43.470001220703097</c:v>
                </c:pt>
                <c:pt idx="237">
                  <c:v>43.869998931884702</c:v>
                </c:pt>
                <c:pt idx="238">
                  <c:v>44.799999237060497</c:v>
                </c:pt>
                <c:pt idx="239">
                  <c:v>44.189998626708899</c:v>
                </c:pt>
                <c:pt idx="240">
                  <c:v>44.189998626708899</c:v>
                </c:pt>
                <c:pt idx="241">
                  <c:v>43.25</c:v>
                </c:pt>
                <c:pt idx="242">
                  <c:v>42.520000457763601</c:v>
                </c:pt>
                <c:pt idx="243">
                  <c:v>40.770000457763601</c:v>
                </c:pt>
                <c:pt idx="244">
                  <c:v>39.630001068115199</c:v>
                </c:pt>
                <c:pt idx="245">
                  <c:v>39.409999847412102</c:v>
                </c:pt>
                <c:pt idx="246">
                  <c:v>39.439998626708899</c:v>
                </c:pt>
                <c:pt idx="247">
                  <c:v>39.310001373291001</c:v>
                </c:pt>
                <c:pt idx="248">
                  <c:v>39.380001068115199</c:v>
                </c:pt>
                <c:pt idx="249">
                  <c:v>39.349998474121001</c:v>
                </c:pt>
                <c:pt idx="250">
                  <c:v>38.639999389648402</c:v>
                </c:pt>
                <c:pt idx="251">
                  <c:v>38.509998321533203</c:v>
                </c:pt>
              </c:numCache>
            </c:numRef>
          </c:yVal>
          <c:smooth val="0"/>
          <c:extLst>
            <c:ext xmlns:c16="http://schemas.microsoft.com/office/drawing/2014/chart" uri="{C3380CC4-5D6E-409C-BE32-E72D297353CC}">
              <c16:uniqueId val="{00000000-769B-4B76-A8FA-63D0EEF5E8CA}"/>
            </c:ext>
          </c:extLst>
        </c:ser>
        <c:dLbls>
          <c:showLegendKey val="0"/>
          <c:showVal val="0"/>
          <c:showCatName val="0"/>
          <c:showSerName val="0"/>
          <c:showPercent val="0"/>
          <c:showBubbleSize val="0"/>
        </c:dLbls>
        <c:axId val="1352631936"/>
        <c:axId val="1352632896"/>
      </c:scatterChart>
      <c:valAx>
        <c:axId val="1352631936"/>
        <c:scaling>
          <c:orientation val="minMax"/>
        </c:scaling>
        <c:delete val="1"/>
        <c:axPos val="b"/>
        <c:numFmt formatCode="m/d/yyyy" sourceLinked="1"/>
        <c:majorTickMark val="out"/>
        <c:minorTickMark val="none"/>
        <c:tickLblPos val="nextTo"/>
        <c:crossAx val="1352632896"/>
        <c:crosses val="autoZero"/>
        <c:crossBetween val="midCat"/>
      </c:valAx>
      <c:valAx>
        <c:axId val="1352632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319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607218</xdr:colOff>
      <xdr:row>0</xdr:row>
      <xdr:rowOff>169067</xdr:rowOff>
    </xdr:from>
    <xdr:to>
      <xdr:col>13</xdr:col>
      <xdr:colOff>533399</xdr:colOff>
      <xdr:row>30</xdr:row>
      <xdr:rowOff>123824</xdr:rowOff>
    </xdr:to>
    <xdr:graphicFrame macro="">
      <xdr:nvGraphicFramePr>
        <xdr:cNvPr id="2" name="Chart 2">
          <a:extLst>
            <a:ext uri="{FF2B5EF4-FFF2-40B4-BE49-F238E27FC236}">
              <a16:creationId xmlns:a16="http://schemas.microsoft.com/office/drawing/2014/main" id="{44306618-DFDD-A897-6C5C-4CBA5AF76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640555</xdr:colOff>
      <xdr:row>12</xdr:row>
      <xdr:rowOff>59531</xdr:rowOff>
    </xdr:from>
    <xdr:to>
      <xdr:col>13</xdr:col>
      <xdr:colOff>14286</xdr:colOff>
      <xdr:row>31</xdr:row>
      <xdr:rowOff>166688</xdr:rowOff>
    </xdr:to>
    <xdr:graphicFrame macro="">
      <xdr:nvGraphicFramePr>
        <xdr:cNvPr id="3" name="Chart 2">
          <a:extLst>
            <a:ext uri="{FF2B5EF4-FFF2-40B4-BE49-F238E27FC236}">
              <a16:creationId xmlns:a16="http://schemas.microsoft.com/office/drawing/2014/main" id="{64EEBA19-E590-291B-44C5-C3F9C330C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7E82-520F-47BD-A72F-86838EAEC5A6}">
  <dimension ref="A1:D38"/>
  <sheetViews>
    <sheetView tabSelected="1" workbookViewId="0">
      <selection sqref="A1:XFD1048576"/>
    </sheetView>
  </sheetViews>
  <sheetFormatPr defaultRowHeight="14.25"/>
  <cols>
    <col min="1" max="1" width="53" customWidth="1"/>
    <col min="2" max="2" width="80" customWidth="1"/>
    <col min="3" max="3" width="14" customWidth="1"/>
    <col min="4" max="4" width="15" customWidth="1"/>
  </cols>
  <sheetData>
    <row r="1" spans="1:4">
      <c r="A1" s="32" t="s">
        <v>14</v>
      </c>
      <c r="B1" s="2" t="s">
        <v>12</v>
      </c>
    </row>
    <row r="2" spans="1:4">
      <c r="A2" s="33"/>
      <c r="B2" s="2" t="s">
        <v>15</v>
      </c>
      <c r="C2" s="2" t="s">
        <v>16</v>
      </c>
      <c r="D2" s="2" t="s">
        <v>17</v>
      </c>
    </row>
    <row r="3" spans="1:4">
      <c r="A3" s="3" t="s">
        <v>18</v>
      </c>
      <c r="B3" s="4" t="s">
        <v>1</v>
      </c>
      <c r="C3" s="4" t="s">
        <v>1</v>
      </c>
      <c r="D3" s="4" t="s">
        <v>1</v>
      </c>
    </row>
    <row r="4" spans="1:4">
      <c r="A4" s="4" t="s">
        <v>19</v>
      </c>
      <c r="B4" s="4" t="s">
        <v>20</v>
      </c>
      <c r="C4" s="4" t="s">
        <v>1</v>
      </c>
      <c r="D4" s="4" t="s">
        <v>1</v>
      </c>
    </row>
    <row r="5" spans="1:4">
      <c r="A5" s="4" t="s">
        <v>21</v>
      </c>
      <c r="B5" s="4" t="s">
        <v>22</v>
      </c>
      <c r="C5" s="4" t="s">
        <v>1</v>
      </c>
      <c r="D5" s="4" t="s">
        <v>1</v>
      </c>
    </row>
    <row r="6" spans="1:4">
      <c r="A6" s="4" t="s">
        <v>23</v>
      </c>
      <c r="B6" s="4" t="s">
        <v>24</v>
      </c>
      <c r="C6" s="4" t="s">
        <v>1</v>
      </c>
      <c r="D6" s="4" t="s">
        <v>1</v>
      </c>
    </row>
    <row r="7" spans="1:4">
      <c r="A7" s="4" t="s">
        <v>25</v>
      </c>
      <c r="B7" s="4" t="s">
        <v>26</v>
      </c>
      <c r="C7" s="4" t="s">
        <v>1</v>
      </c>
      <c r="D7" s="4" t="s">
        <v>1</v>
      </c>
    </row>
    <row r="8" spans="1:4">
      <c r="A8" s="4" t="s">
        <v>27</v>
      </c>
      <c r="B8" s="4" t="s">
        <v>28</v>
      </c>
      <c r="C8" s="4" t="s">
        <v>1</v>
      </c>
      <c r="D8" s="4" t="s">
        <v>1</v>
      </c>
    </row>
    <row r="9" spans="1:4">
      <c r="A9" s="4" t="s">
        <v>29</v>
      </c>
      <c r="B9" s="4" t="s">
        <v>30</v>
      </c>
      <c r="C9" s="4" t="s">
        <v>1</v>
      </c>
      <c r="D9" s="4" t="s">
        <v>1</v>
      </c>
    </row>
    <row r="10" spans="1:4">
      <c r="A10" s="4" t="s">
        <v>31</v>
      </c>
      <c r="B10" s="4" t="s">
        <v>32</v>
      </c>
      <c r="C10" s="4" t="s">
        <v>1</v>
      </c>
      <c r="D10" s="4" t="s">
        <v>1</v>
      </c>
    </row>
    <row r="11" spans="1:4">
      <c r="A11" s="4" t="s">
        <v>33</v>
      </c>
      <c r="B11" s="4" t="s">
        <v>34</v>
      </c>
      <c r="C11" s="4" t="s">
        <v>1</v>
      </c>
      <c r="D11" s="4" t="s">
        <v>1</v>
      </c>
    </row>
    <row r="12" spans="1:4">
      <c r="A12" s="4" t="s">
        <v>35</v>
      </c>
      <c r="B12" s="4" t="s">
        <v>36</v>
      </c>
      <c r="C12" s="4" t="s">
        <v>1</v>
      </c>
      <c r="D12" s="4" t="s">
        <v>1</v>
      </c>
    </row>
    <row r="13" spans="1:4">
      <c r="A13" s="4" t="s">
        <v>37</v>
      </c>
      <c r="B13" s="4" t="s">
        <v>38</v>
      </c>
      <c r="C13" s="4" t="s">
        <v>1</v>
      </c>
      <c r="D13" s="4" t="s">
        <v>1</v>
      </c>
    </row>
    <row r="14" spans="1:4">
      <c r="A14" s="4" t="s">
        <v>39</v>
      </c>
      <c r="B14" s="4" t="s">
        <v>40</v>
      </c>
      <c r="C14" s="4" t="s">
        <v>1</v>
      </c>
      <c r="D14" s="4" t="s">
        <v>1</v>
      </c>
    </row>
    <row r="15" spans="1:4">
      <c r="A15" s="4" t="s">
        <v>41</v>
      </c>
      <c r="B15" s="4" t="s">
        <v>42</v>
      </c>
      <c r="C15" s="4" t="s">
        <v>1</v>
      </c>
      <c r="D15" s="4" t="s">
        <v>1</v>
      </c>
    </row>
    <row r="16" spans="1:4">
      <c r="A16" s="4" t="s">
        <v>43</v>
      </c>
      <c r="B16" s="4" t="s">
        <v>44</v>
      </c>
      <c r="C16" s="4" t="s">
        <v>1</v>
      </c>
      <c r="D16" s="4" t="s">
        <v>1</v>
      </c>
    </row>
    <row r="17" spans="1:4">
      <c r="A17" s="4" t="s">
        <v>45</v>
      </c>
      <c r="B17" s="4" t="s">
        <v>46</v>
      </c>
      <c r="C17" s="4" t="s">
        <v>1</v>
      </c>
      <c r="D17" s="4" t="s">
        <v>1</v>
      </c>
    </row>
    <row r="18" spans="1:4">
      <c r="A18" s="4" t="s">
        <v>47</v>
      </c>
      <c r="B18" s="4" t="s">
        <v>48</v>
      </c>
      <c r="C18" s="4" t="s">
        <v>1</v>
      </c>
      <c r="D18" s="4" t="s">
        <v>1</v>
      </c>
    </row>
    <row r="19" spans="1:4">
      <c r="A19" s="4" t="s">
        <v>49</v>
      </c>
      <c r="B19" s="4" t="s">
        <v>50</v>
      </c>
      <c r="C19" s="4" t="s">
        <v>1</v>
      </c>
      <c r="D19" s="4" t="s">
        <v>1</v>
      </c>
    </row>
    <row r="20" spans="1:4">
      <c r="A20" s="4" t="s">
        <v>51</v>
      </c>
      <c r="B20" s="4" t="s">
        <v>52</v>
      </c>
      <c r="C20" s="4" t="s">
        <v>1</v>
      </c>
      <c r="D20" s="4" t="s">
        <v>1</v>
      </c>
    </row>
    <row r="21" spans="1:4">
      <c r="A21" s="4" t="s">
        <v>53</v>
      </c>
      <c r="B21" s="4" t="s">
        <v>54</v>
      </c>
      <c r="C21" s="4" t="s">
        <v>1</v>
      </c>
      <c r="D21" s="4" t="s">
        <v>1</v>
      </c>
    </row>
    <row r="22" spans="1:4">
      <c r="A22" s="4" t="s">
        <v>55</v>
      </c>
      <c r="B22" s="4" t="s">
        <v>56</v>
      </c>
      <c r="C22" s="4" t="s">
        <v>1</v>
      </c>
      <c r="D22" s="4" t="s">
        <v>1</v>
      </c>
    </row>
    <row r="23" spans="1:4">
      <c r="A23" s="4" t="s">
        <v>57</v>
      </c>
      <c r="B23" s="4" t="s">
        <v>58</v>
      </c>
      <c r="C23" s="4" t="s">
        <v>1</v>
      </c>
      <c r="D23" s="4" t="s">
        <v>1</v>
      </c>
    </row>
    <row r="24" spans="1:4">
      <c r="A24" s="4" t="s">
        <v>59</v>
      </c>
      <c r="B24" s="4" t="s">
        <v>56</v>
      </c>
      <c r="C24" s="4" t="s">
        <v>1</v>
      </c>
      <c r="D24" s="4" t="s">
        <v>1</v>
      </c>
    </row>
    <row r="25" spans="1:4">
      <c r="A25" s="4" t="s">
        <v>60</v>
      </c>
      <c r="B25" s="4" t="s">
        <v>56</v>
      </c>
      <c r="C25" s="4" t="s">
        <v>1</v>
      </c>
      <c r="D25" s="4" t="s">
        <v>1</v>
      </c>
    </row>
    <row r="26" spans="1:4">
      <c r="A26" s="4" t="s">
        <v>61</v>
      </c>
      <c r="B26" s="4" t="s">
        <v>62</v>
      </c>
      <c r="C26" s="4" t="s">
        <v>1</v>
      </c>
      <c r="D26" s="4" t="s">
        <v>1</v>
      </c>
    </row>
    <row r="27" spans="1:4">
      <c r="A27" s="4" t="s">
        <v>63</v>
      </c>
      <c r="B27" s="4" t="s">
        <v>28</v>
      </c>
      <c r="C27" s="4" t="s">
        <v>1</v>
      </c>
      <c r="D27" s="4" t="s">
        <v>1</v>
      </c>
    </row>
    <row r="28" spans="1:4">
      <c r="A28" s="4" t="s">
        <v>64</v>
      </c>
      <c r="B28" s="4" t="s">
        <v>28</v>
      </c>
      <c r="C28" s="4" t="s">
        <v>1</v>
      </c>
      <c r="D28" s="4" t="s">
        <v>1</v>
      </c>
    </row>
    <row r="29" spans="1:4">
      <c r="A29" s="4" t="s">
        <v>65</v>
      </c>
      <c r="B29" s="4" t="s">
        <v>22</v>
      </c>
      <c r="C29" s="4" t="s">
        <v>1</v>
      </c>
      <c r="D29" s="4" t="s">
        <v>1</v>
      </c>
    </row>
    <row r="30" spans="1:4">
      <c r="A30" s="4" t="s">
        <v>66</v>
      </c>
      <c r="B30" s="4" t="s">
        <v>28</v>
      </c>
      <c r="C30" s="4" t="s">
        <v>1</v>
      </c>
      <c r="D30" s="4" t="s">
        <v>1</v>
      </c>
    </row>
    <row r="31" spans="1:4">
      <c r="A31" s="4" t="s">
        <v>67</v>
      </c>
      <c r="B31" s="4" t="s">
        <v>28</v>
      </c>
      <c r="C31" s="4" t="s">
        <v>1</v>
      </c>
      <c r="D31" s="4" t="s">
        <v>1</v>
      </c>
    </row>
    <row r="32" spans="1:4">
      <c r="A32" s="4" t="s">
        <v>68</v>
      </c>
      <c r="B32" s="4" t="s">
        <v>1</v>
      </c>
      <c r="C32" s="4" t="s">
        <v>1</v>
      </c>
      <c r="D32" s="6">
        <v>2644447229</v>
      </c>
    </row>
    <row r="33" spans="1:4">
      <c r="A33" s="4" t="s">
        <v>69</v>
      </c>
      <c r="B33" s="4" t="s">
        <v>1</v>
      </c>
      <c r="C33" s="5">
        <v>86933474</v>
      </c>
      <c r="D33" s="4" t="s">
        <v>1</v>
      </c>
    </row>
    <row r="34" spans="1:4" ht="42.75">
      <c r="A34" s="4" t="s">
        <v>70</v>
      </c>
      <c r="B34" s="4" t="s">
        <v>71</v>
      </c>
      <c r="C34" s="4" t="s">
        <v>1</v>
      </c>
      <c r="D34" s="4" t="s">
        <v>1</v>
      </c>
    </row>
    <row r="35" spans="1:4">
      <c r="A35" s="4" t="s">
        <v>72</v>
      </c>
      <c r="B35" s="4" t="s">
        <v>73</v>
      </c>
      <c r="C35" s="4" t="s">
        <v>1</v>
      </c>
      <c r="D35" s="4" t="s">
        <v>1</v>
      </c>
    </row>
    <row r="36" spans="1:4">
      <c r="A36" s="4" t="s">
        <v>74</v>
      </c>
      <c r="B36" s="4" t="s">
        <v>28</v>
      </c>
      <c r="C36" s="4" t="s">
        <v>1</v>
      </c>
      <c r="D36" s="4" t="s">
        <v>1</v>
      </c>
    </row>
    <row r="37" spans="1:4">
      <c r="A37" s="4" t="s">
        <v>75</v>
      </c>
      <c r="B37" s="4" t="s">
        <v>76</v>
      </c>
      <c r="C37" s="4" t="s">
        <v>1</v>
      </c>
      <c r="D37" s="4" t="s">
        <v>1</v>
      </c>
    </row>
    <row r="38" spans="1:4">
      <c r="A38" s="4" t="s">
        <v>77</v>
      </c>
      <c r="B38" s="4" t="s">
        <v>78</v>
      </c>
      <c r="C38" s="4" t="s">
        <v>1</v>
      </c>
      <c r="D38" s="4" t="s">
        <v>1</v>
      </c>
    </row>
  </sheetData>
  <mergeCells count="1">
    <mergeCell ref="A1:A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77C13-3C74-427A-9010-C62C4703632A}">
  <sheetPr>
    <tabColor rgb="FFFFC000"/>
  </sheetPr>
  <dimension ref="B1:K25"/>
  <sheetViews>
    <sheetView topLeftCell="B1" workbookViewId="0">
      <selection activeCell="F26" sqref="F26"/>
    </sheetView>
  </sheetViews>
  <sheetFormatPr defaultRowHeight="14.25"/>
  <cols>
    <col min="2" max="2" width="25.1328125" style="9" bestFit="1" customWidth="1"/>
    <col min="5" max="5" width="7.796875" bestFit="1" customWidth="1"/>
    <col min="11" max="11" width="126.1328125" bestFit="1" customWidth="1"/>
  </cols>
  <sheetData>
    <row r="1" spans="2:11" ht="14.65" thickBot="1">
      <c r="B1" s="35" t="s">
        <v>158</v>
      </c>
      <c r="C1" s="36"/>
      <c r="D1" s="36"/>
      <c r="E1" s="36"/>
      <c r="F1" s="36"/>
      <c r="G1" s="36"/>
      <c r="H1" s="36"/>
      <c r="I1" s="36"/>
    </row>
    <row r="2" spans="2:11" ht="14.65" thickBot="1">
      <c r="B2" s="8"/>
      <c r="E2" s="16">
        <v>2023</v>
      </c>
      <c r="F2" s="17">
        <v>2022</v>
      </c>
      <c r="G2" s="17">
        <v>2021</v>
      </c>
      <c r="H2" s="17">
        <v>2020</v>
      </c>
      <c r="I2" s="18">
        <v>2019</v>
      </c>
    </row>
    <row r="3" spans="2:11">
      <c r="B3" s="34" t="s">
        <v>159</v>
      </c>
      <c r="C3" s="34"/>
    </row>
    <row r="4" spans="2:11">
      <c r="B4" s="9" t="s">
        <v>160</v>
      </c>
      <c r="E4" s="14">
        <f>'BALANCE SHEET'!B7/'BALANCE SHEET'!B21</f>
        <v>2.2954640733219027</v>
      </c>
      <c r="F4" s="14">
        <f>'BALANCE SHEET'!C7/'BALANCE SHEET'!C21</f>
        <v>1.7575787209074907</v>
      </c>
      <c r="G4" s="14">
        <f>'BALANCE SHEET'!D7/'BALANCE SHEET'!D21</f>
        <v>1.9077091894489402</v>
      </c>
      <c r="H4" s="14">
        <f>'BALANCE SHEET'!E7/'BALANCE SHEET'!E21</f>
        <v>1.6558891294451259</v>
      </c>
      <c r="I4" s="14">
        <f>'BALANCE SHEET'!F7/'BALANCE SHEET'!F21</f>
        <v>2.1169794259946451</v>
      </c>
      <c r="K4" t="s">
        <v>181</v>
      </c>
    </row>
    <row r="5" spans="2:11" ht="14.65" thickBot="1">
      <c r="B5" s="9" t="s">
        <v>161</v>
      </c>
      <c r="E5" s="14">
        <f>('BALANCE SHEET'!B7-'BALANCE SHEET'!B21)/'BALANCE SHEET'!B5</f>
        <v>1.5303670138312258</v>
      </c>
      <c r="F5" s="14">
        <f>('BALANCE SHEET'!C7-'BALANCE SHEET'!C21)/'BALANCE SHEET'!C5</f>
        <v>0.83432953162525714</v>
      </c>
      <c r="G5" s="14">
        <f>('BALANCE SHEET'!D7-'BALANCE SHEET'!D21)/'BALANCE SHEET'!D5</f>
        <v>1.1492485824677605</v>
      </c>
      <c r="H5" s="14">
        <f>('BALANCE SHEET'!E7-'BALANCE SHEET'!E21)/'BALANCE SHEET'!E5</f>
        <v>1.3470605448537232</v>
      </c>
      <c r="I5" s="14">
        <f>('BALANCE SHEET'!F7-'BALANCE SHEET'!F21)/'BALANCE SHEET'!F5</f>
        <v>1.0244211093161013</v>
      </c>
      <c r="K5" t="s">
        <v>182</v>
      </c>
    </row>
    <row r="6" spans="2:11" ht="14.65" thickBot="1">
      <c r="E6" s="15"/>
    </row>
    <row r="7" spans="2:11">
      <c r="B7" s="8" t="s">
        <v>162</v>
      </c>
    </row>
    <row r="8" spans="2:11">
      <c r="B8" s="9" t="s">
        <v>163</v>
      </c>
      <c r="E8" s="19">
        <f>'BALANCE SHEET'!B5/'INCOME STATEMENT'!B5</f>
        <v>0.47127222313064354</v>
      </c>
      <c r="F8" s="19">
        <f>'BALANCE SHEET'!C5/'INCOME STATEMENT'!C5</f>
        <v>0.44650471675997599</v>
      </c>
      <c r="G8" s="19">
        <f>'BALANCE SHEET'!D5/'INCOME STATEMENT'!D5</f>
        <v>0.5360175902204829</v>
      </c>
      <c r="H8" s="19">
        <f>'BALANCE SHEET'!E5/'INCOME STATEMENT'!E5</f>
        <v>0.3026691552283558</v>
      </c>
      <c r="I8" s="19">
        <f>'BALANCE SHEET'!F5/'INCOME STATEMENT'!F5</f>
        <v>0.42356644313671821</v>
      </c>
      <c r="K8" t="s">
        <v>185</v>
      </c>
    </row>
    <row r="9" spans="2:11">
      <c r="B9" s="9" t="s">
        <v>164</v>
      </c>
      <c r="E9" s="19">
        <f>'BALANCE SHEET'!B4/'INCOME STATEMENT'!B4</f>
        <v>5.7739946573035841E-2</v>
      </c>
      <c r="F9" s="19">
        <f>'BALANCE SHEET'!C4/'INCOME STATEMENT'!C4</f>
        <v>4.9802472633902993E-2</v>
      </c>
      <c r="G9" s="19">
        <f>'BALANCE SHEET'!D4/'INCOME STATEMENT'!D4</f>
        <v>7.7626402473725875E-2</v>
      </c>
      <c r="H9" s="19">
        <f>'BALANCE SHEET'!E4/'INCOME STATEMENT'!E4</f>
        <v>5.9920987138655388E-2</v>
      </c>
      <c r="I9" s="19">
        <f>'BALANCE SHEET'!F4/'INCOME STATEMENT'!F4</f>
        <v>9.0494607839918403E-2</v>
      </c>
      <c r="K9" t="s">
        <v>186</v>
      </c>
    </row>
    <row r="10" spans="2:11">
      <c r="B10" s="9" t="s">
        <v>165</v>
      </c>
      <c r="E10" s="19">
        <f>'INCOME STATEMENT'!B4/'BALANCE SHEET'!B7</f>
        <v>1.8139806759586836</v>
      </c>
      <c r="F10" s="19">
        <f>'INCOME STATEMENT'!C4/'BALANCE SHEET'!C7</f>
        <v>2.218914482835364</v>
      </c>
      <c r="G10" s="19">
        <f>'INCOME STATEMENT'!D4/'BALANCE SHEET'!D7</f>
        <v>1.8320559047583187</v>
      </c>
      <c r="H10" s="19">
        <f>'INCOME STATEMENT'!E4/'BALANCE SHEET'!E7</f>
        <v>2.2911392936366859</v>
      </c>
      <c r="I10" s="19">
        <f>'INCOME STATEMENT'!F4/'BALANCE SHEET'!F7</f>
        <v>2.5342992730490059</v>
      </c>
      <c r="K10" t="s">
        <v>187</v>
      </c>
    </row>
    <row r="12" spans="2:11">
      <c r="B12" s="8" t="s">
        <v>166</v>
      </c>
    </row>
    <row r="13" spans="2:11">
      <c r="B13" s="9" t="s">
        <v>167</v>
      </c>
      <c r="E13" s="14">
        <f>'BALANCE SHEET'!B21/'BALANCE SHEET'!B25</f>
        <v>0.69450052477239521</v>
      </c>
      <c r="F13" s="14">
        <f>'BALANCE SHEET'!C21/'BALANCE SHEET'!C25</f>
        <v>0.74331986159974417</v>
      </c>
      <c r="G13" s="14">
        <f>'BALANCE SHEET'!D21/'BALANCE SHEET'!D25</f>
        <v>0.69781225531120528</v>
      </c>
      <c r="H13" s="14">
        <f>'BALANCE SHEET'!E21/'BALANCE SHEET'!E25</f>
        <v>0.64139003987526999</v>
      </c>
      <c r="I13" s="14">
        <f>'BALANCE SHEET'!F21/'BALANCE SHEET'!F25</f>
        <v>0.33556766640264496</v>
      </c>
      <c r="K13" t="s">
        <v>188</v>
      </c>
    </row>
    <row r="14" spans="2:11">
      <c r="B14" s="9" t="s">
        <v>168</v>
      </c>
      <c r="E14" s="21">
        <f>'INCOME STATEMENT'!B8/'INCOME STATEMENT'!B9</f>
        <v>-239.33970276008492</v>
      </c>
      <c r="F14" s="21">
        <f>'INCOME STATEMENT'!C8/'INCOME STATEMENT'!C9</f>
        <v>-28.293999104343932</v>
      </c>
      <c r="G14" s="21">
        <f>'INCOME STATEMENT'!D8/'INCOME STATEMENT'!D9</f>
        <v>-82.3414195867026</v>
      </c>
      <c r="H14" s="21">
        <f>'INCOME STATEMENT'!E8/'INCOME STATEMENT'!E9</f>
        <v>-23.400655379574005</v>
      </c>
      <c r="I14" s="21">
        <f>'INCOME STATEMENT'!F8/'INCOME STATEMENT'!F9</f>
        <v>-4.121906423619083</v>
      </c>
      <c r="K14" t="s">
        <v>189</v>
      </c>
    </row>
    <row r="16" spans="2:11">
      <c r="B16" s="8" t="s">
        <v>169</v>
      </c>
    </row>
    <row r="17" spans="2:11">
      <c r="B17" s="9" t="s">
        <v>170</v>
      </c>
      <c r="E17" s="14">
        <f>'INCOME STATEMENT'!B8/'INCOME STATEMENT'!B4</f>
        <v>0.13592345390673372</v>
      </c>
      <c r="F17" s="14">
        <f>'INCOME STATEMENT'!C8/'INCOME STATEMENT'!C4</f>
        <v>7.9212172349679227E-2</v>
      </c>
      <c r="G17" s="14">
        <f>'INCOME STATEMENT'!D8/'INCOME STATEMENT'!D4</f>
        <v>0.194854814601673</v>
      </c>
      <c r="H17" s="14">
        <f>'INCOME STATEMENT'!E8/'INCOME STATEMENT'!E4</f>
        <v>0.19623420269464451</v>
      </c>
      <c r="I17" s="14">
        <f>'INCOME STATEMENT'!F8/'INCOME STATEMENT'!F4</f>
        <v>9.8246316761770924E-2</v>
      </c>
      <c r="K17" t="s">
        <v>196</v>
      </c>
    </row>
    <row r="18" spans="2:11">
      <c r="B18" s="9" t="s">
        <v>171</v>
      </c>
      <c r="E18" s="14">
        <f>'INCOME STATEMENT'!B13/'INCOME STATEMENT'!B4</f>
        <v>0.10241976761501236</v>
      </c>
      <c r="F18" s="14">
        <f>'INCOME STATEMENT'!C13/'INCOME STATEMENT'!C4</f>
        <v>5.6226029982033847E-2</v>
      </c>
      <c r="G18" s="14">
        <f>'INCOME STATEMENT'!D13/'INCOME STATEMENT'!D4</f>
        <v>0.15067587344763142</v>
      </c>
      <c r="H18" s="14">
        <f>'INCOME STATEMENT'!E13/'INCOME STATEMENT'!E4</f>
        <v>0.14271137039591617</v>
      </c>
      <c r="I18" s="14">
        <f>'INCOME STATEMENT'!F13/'INCOME STATEMENT'!F4</f>
        <v>5.5195494531231189E-2</v>
      </c>
      <c r="K18" t="s">
        <v>195</v>
      </c>
    </row>
    <row r="19" spans="2:11">
      <c r="B19" s="9" t="s">
        <v>172</v>
      </c>
      <c r="E19" s="14">
        <f>'INCOME STATEMENT'!B13/'BALANCE SHEET'!B13</f>
        <v>0.13096365071631647</v>
      </c>
      <c r="F19" s="14">
        <f>'INCOME STATEMENT'!C13/'BALANCE SHEET'!C13</f>
        <v>8.3298584185035732E-2</v>
      </c>
      <c r="G19" s="14">
        <f>'INCOME STATEMENT'!D13/'BALANCE SHEET'!D13</f>
        <v>0.19391552440612789</v>
      </c>
      <c r="H19" s="14">
        <f>'INCOME STATEMENT'!E13/'BALANCE SHEET'!E13</f>
        <v>0.21137969818211913</v>
      </c>
      <c r="I19" s="14">
        <f>'INCOME STATEMENT'!F13/'BALANCE SHEET'!F13</f>
        <v>8.0112590324030758E-2</v>
      </c>
      <c r="K19" t="s">
        <v>194</v>
      </c>
    </row>
    <row r="20" spans="2:11">
      <c r="B20" s="9" t="s">
        <v>173</v>
      </c>
      <c r="E20" s="20">
        <f>'INCOME STATEMENT'!B13/'BALANCE SHEET'!B34</f>
        <v>0.20626248277452999</v>
      </c>
      <c r="F20" s="20">
        <f>'INCOME STATEMENT'!C13/'BALANCE SHEET'!C34</f>
        <v>0.14316474648125624</v>
      </c>
      <c r="G20" s="20">
        <f>'INCOME STATEMENT'!D13/'BALANCE SHEET'!D34</f>
        <v>0.30462623457718818</v>
      </c>
      <c r="H20" s="20">
        <f>'INCOME STATEMENT'!E13/'BALANCE SHEET'!E34</f>
        <v>0.61060597747278156</v>
      </c>
      <c r="I20" s="20">
        <f>'INCOME STATEMENT'!F13/'BALANCE SHEET'!F34</f>
        <v>-0.75649487010259797</v>
      </c>
      <c r="K20" t="s">
        <v>193</v>
      </c>
    </row>
    <row r="21" spans="2:11">
      <c r="B21" s="9" t="s">
        <v>174</v>
      </c>
      <c r="E21" s="14">
        <f>('INCOME STATEMENT'!B8*(1--0.2313)/('BALANCE SHEET'!B25+'BALANCE SHEET'!B35))</f>
        <v>0.2140056640805679</v>
      </c>
      <c r="F21" s="14">
        <f>('INCOME STATEMENT'!C8*(1--0.2313)/('BALANCE SHEET'!C25+'BALANCE SHEET'!C35))</f>
        <v>0.14449605930727691</v>
      </c>
      <c r="G21" s="14">
        <f>('INCOME STATEMENT'!D8*(1--0.2313)/('BALANCE SHEET'!D25+'BALANCE SHEET'!D35))</f>
        <v>0.20211961836641482</v>
      </c>
      <c r="H21" s="14">
        <f>('INCOME STATEMENT'!E8*(1--0.2313)/('BALANCE SHEET'!E25+'BALANCE SHEET'!E35))</f>
        <v>0.22246903381585473</v>
      </c>
      <c r="I21" s="14">
        <f>('INCOME STATEMENT'!F8*(1--0.2313)/('BALANCE SHEET'!F25+'BALANCE SHEET'!F35))</f>
        <v>9.7210145962484382E-2</v>
      </c>
      <c r="K21" t="s">
        <v>192</v>
      </c>
    </row>
    <row r="22" spans="2:11">
      <c r="B22" s="9" t="s">
        <v>175</v>
      </c>
      <c r="E22" s="14">
        <f>'INCOME STATEMENT'!B8/'BALANCE SHEET'!B13</f>
        <v>0.17380464881066179</v>
      </c>
      <c r="F22" s="14">
        <f>'INCOME STATEMENT'!C8/'BALANCE SHEET'!C13</f>
        <v>0.11735243994743515</v>
      </c>
      <c r="G22" s="14">
        <f>'INCOME STATEMENT'!D8/'BALANCE SHEET'!D13</f>
        <v>0.25077255364094408</v>
      </c>
      <c r="H22" s="14">
        <f>'INCOME STATEMENT'!E8/'BALANCE SHEET'!E13</f>
        <v>0.29065607332847626</v>
      </c>
      <c r="I22" s="14">
        <f>'INCOME STATEMENT'!F8/'BALANCE SHEET'!F13</f>
        <v>0.14259799631158673</v>
      </c>
      <c r="K22" t="s">
        <v>191</v>
      </c>
    </row>
    <row r="24" spans="2:11">
      <c r="B24" s="8" t="s">
        <v>176</v>
      </c>
    </row>
    <row r="25" spans="2:11">
      <c r="B25" s="9" t="s">
        <v>184</v>
      </c>
      <c r="E25" s="14">
        <f>'INCOME STATEMENT'!B13/'INCOME STATEMENT'!B4*'INCOME STATEMENT'!B4/'BALANCE SHEET'!B13*'BALANCE SHEET'!B13/('BALANCE SHEET'!B34+'BALANCE SHEET'!B35)</f>
        <v>0.10979838357855413</v>
      </c>
      <c r="F25" s="14">
        <f>'INCOME STATEMENT'!C13/'INCOME STATEMENT'!C4*'INCOME STATEMENT'!C4/'BALANCE SHEET'!C13*'BALANCE SHEET'!C13/('BALANCE SHEET'!C34+'BALANCE SHEET'!C35)</f>
        <v>7.7792396912693115E-2</v>
      </c>
      <c r="G25" s="14">
        <f>'INCOME STATEMENT'!D13/'INCOME STATEMENT'!D4*'INCOME STATEMENT'!D4/'BALANCE SHEET'!D13*'BALANCE SHEET'!D13/('BALANCE SHEET'!D34+'BALANCE SHEET'!D35)</f>
        <v>0.11848908333449443</v>
      </c>
      <c r="H25" s="14">
        <f>'INCOME STATEMENT'!E13/'INCOME STATEMENT'!E4*'INCOME STATEMENT'!E4/'BALANCE SHEET'!E13*'BALANCE SHEET'!E13/('BALANCE SHEET'!E34+'BALANCE SHEET'!E35)</f>
        <v>0.15702184484365944</v>
      </c>
      <c r="I25" s="14">
        <f>'INCOME STATEMENT'!F13/'INCOME STATEMENT'!F4*'INCOME STATEMENT'!F4/'BALANCE SHEET'!F13*'BALANCE SHEET'!F13/('BALANCE SHEET'!F34+'BALANCE SHEET'!F35)</f>
        <v>8.9601347377996021E-2</v>
      </c>
      <c r="K25" t="s">
        <v>190</v>
      </c>
    </row>
  </sheetData>
  <mergeCells count="2">
    <mergeCell ref="B3:C3"/>
    <mergeCell ref="B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1E88-3D83-4AB5-AA9E-41A3276697D9}">
  <sheetPr>
    <tabColor rgb="FF00B0F0"/>
  </sheetPr>
  <dimension ref="A1"/>
  <sheetViews>
    <sheetView topLeftCell="B5" workbookViewId="0">
      <selection activeCell="O18" sqref="O18"/>
    </sheetView>
  </sheetViews>
  <sheetFormatPr defaultRowHeight="14.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A16A-5EE0-4522-9A60-A60E82FE42F1}">
  <sheetPr>
    <tabColor rgb="FFFFFF00"/>
  </sheetPr>
  <dimension ref="A1:F36"/>
  <sheetViews>
    <sheetView topLeftCell="A9" workbookViewId="0">
      <selection activeCell="B34" sqref="B34:F34"/>
    </sheetView>
  </sheetViews>
  <sheetFormatPr defaultRowHeight="14.25"/>
  <cols>
    <col min="1" max="1" width="80" customWidth="1"/>
    <col min="2" max="4" width="14" customWidth="1"/>
    <col min="5" max="6" width="12.9296875" customWidth="1"/>
  </cols>
  <sheetData>
    <row r="1" spans="1:6">
      <c r="A1" s="1" t="s">
        <v>79</v>
      </c>
      <c r="B1" s="2" t="s">
        <v>15</v>
      </c>
      <c r="C1" s="2" t="s">
        <v>0</v>
      </c>
      <c r="D1" s="10" t="s">
        <v>180</v>
      </c>
      <c r="E1" s="2" t="s">
        <v>179</v>
      </c>
      <c r="F1" s="2" t="s">
        <v>157</v>
      </c>
    </row>
    <row r="2" spans="1:6">
      <c r="A2" s="3" t="s">
        <v>80</v>
      </c>
      <c r="B2" s="4" t="s">
        <v>1</v>
      </c>
      <c r="C2" s="4" t="s">
        <v>1</v>
      </c>
    </row>
    <row r="3" spans="1:6">
      <c r="A3" s="4" t="s">
        <v>81</v>
      </c>
      <c r="B3" s="6">
        <v>438960</v>
      </c>
      <c r="C3" s="6">
        <v>234741</v>
      </c>
      <c r="D3" s="12">
        <v>312189</v>
      </c>
      <c r="E3" s="6">
        <v>253283</v>
      </c>
      <c r="F3" s="6">
        <v>72515</v>
      </c>
    </row>
    <row r="4" spans="1:6">
      <c r="A4" s="4" t="s">
        <v>82</v>
      </c>
      <c r="B4" s="5">
        <v>95774</v>
      </c>
      <c r="C4" s="5">
        <v>79446</v>
      </c>
      <c r="D4" s="13">
        <v>109530</v>
      </c>
      <c r="E4" s="5">
        <v>65417</v>
      </c>
      <c r="F4" s="5">
        <v>82688</v>
      </c>
    </row>
    <row r="5" spans="1:6">
      <c r="A5" s="4" t="s">
        <v>83</v>
      </c>
      <c r="B5" s="5">
        <v>337208</v>
      </c>
      <c r="C5" s="5">
        <v>371412</v>
      </c>
      <c r="D5" s="13">
        <v>318864</v>
      </c>
      <c r="E5" s="5">
        <v>140111</v>
      </c>
      <c r="F5" s="5">
        <v>185700</v>
      </c>
    </row>
    <row r="6" spans="1:6">
      <c r="A6" s="4" t="s">
        <v>84</v>
      </c>
      <c r="B6" s="5">
        <v>42463</v>
      </c>
      <c r="C6" s="5">
        <v>33321</v>
      </c>
      <c r="D6" s="13">
        <v>29584</v>
      </c>
      <c r="E6" s="5">
        <v>17686</v>
      </c>
      <c r="F6" s="5">
        <v>19644</v>
      </c>
    </row>
    <row r="7" spans="1:6">
      <c r="A7" s="4" t="s">
        <v>3</v>
      </c>
      <c r="B7" s="5">
        <v>914405</v>
      </c>
      <c r="C7" s="5">
        <v>718920</v>
      </c>
      <c r="D7" s="13">
        <v>770167</v>
      </c>
      <c r="E7" s="5">
        <v>476497</v>
      </c>
      <c r="F7" s="5">
        <v>360547</v>
      </c>
    </row>
    <row r="8" spans="1:6">
      <c r="A8" s="4" t="s">
        <v>85</v>
      </c>
      <c r="B8" s="5">
        <v>130714</v>
      </c>
      <c r="C8" s="5">
        <v>124587</v>
      </c>
      <c r="D8" s="13">
        <v>119044</v>
      </c>
      <c r="E8" s="5">
        <v>78075</v>
      </c>
      <c r="F8" s="5">
        <v>82610</v>
      </c>
    </row>
    <row r="9" spans="1:6">
      <c r="A9" s="4" t="s">
        <v>86</v>
      </c>
      <c r="B9" s="5">
        <v>77556</v>
      </c>
      <c r="C9" s="5">
        <v>55406</v>
      </c>
      <c r="D9" s="13">
        <v>54971</v>
      </c>
      <c r="E9" s="5">
        <v>34090</v>
      </c>
      <c r="F9" s="5">
        <v>37768</v>
      </c>
    </row>
    <row r="10" spans="1:6">
      <c r="A10" s="4" t="s">
        <v>4</v>
      </c>
      <c r="B10" s="5">
        <v>54293</v>
      </c>
      <c r="C10" s="5">
        <v>54293</v>
      </c>
      <c r="D10" s="13">
        <v>54293</v>
      </c>
      <c r="E10" s="5">
        <v>54293</v>
      </c>
      <c r="F10" s="5">
        <v>54293</v>
      </c>
    </row>
    <row r="11" spans="1:6">
      <c r="A11" s="4" t="s">
        <v>87</v>
      </c>
      <c r="B11" s="5">
        <v>117629</v>
      </c>
      <c r="C11" s="5">
        <v>99429</v>
      </c>
      <c r="D11" s="13">
        <v>95314</v>
      </c>
      <c r="E11" s="5">
        <v>92078</v>
      </c>
      <c r="F11" s="5">
        <v>90850</v>
      </c>
    </row>
    <row r="12" spans="1:6">
      <c r="A12" s="4" t="s">
        <v>88</v>
      </c>
      <c r="B12" s="5">
        <v>2595</v>
      </c>
      <c r="C12" s="5">
        <v>24130</v>
      </c>
      <c r="D12" s="13">
        <v>2575</v>
      </c>
      <c r="E12" s="5">
        <v>972</v>
      </c>
      <c r="F12" s="5">
        <v>2389</v>
      </c>
    </row>
    <row r="13" spans="1:6">
      <c r="A13" s="4" t="s">
        <v>7</v>
      </c>
      <c r="B13" s="5">
        <v>1297192</v>
      </c>
      <c r="C13" s="5">
        <v>1076765</v>
      </c>
      <c r="D13" s="13">
        <v>1096364</v>
      </c>
      <c r="E13" s="5">
        <v>737067</v>
      </c>
      <c r="F13" s="5">
        <v>629539</v>
      </c>
    </row>
    <row r="14" spans="1:6">
      <c r="A14" s="3" t="s">
        <v>89</v>
      </c>
      <c r="B14" s="4" t="s">
        <v>1</v>
      </c>
      <c r="C14" s="4" t="s">
        <v>1</v>
      </c>
    </row>
    <row r="15" spans="1:6">
      <c r="A15" s="4" t="s">
        <v>8</v>
      </c>
      <c r="B15" s="5">
        <v>190392</v>
      </c>
      <c r="C15" s="5">
        <v>140818</v>
      </c>
      <c r="D15" s="13">
        <v>191319</v>
      </c>
      <c r="E15" s="5">
        <v>123621</v>
      </c>
      <c r="F15" s="5">
        <v>83823</v>
      </c>
    </row>
    <row r="16" spans="1:6">
      <c r="A16" s="4" t="s">
        <v>90</v>
      </c>
      <c r="B16" s="5">
        <v>130026</v>
      </c>
      <c r="C16" s="5">
        <v>211399</v>
      </c>
      <c r="D16" s="13">
        <v>132309</v>
      </c>
      <c r="E16" s="5">
        <v>89068</v>
      </c>
      <c r="F16" s="5">
        <v>42088</v>
      </c>
    </row>
    <row r="17" spans="1:6">
      <c r="A17" s="4" t="s">
        <v>91</v>
      </c>
      <c r="B17" s="5">
        <v>33489</v>
      </c>
      <c r="C17" s="5">
        <v>15289</v>
      </c>
      <c r="D17" s="13">
        <v>14514</v>
      </c>
      <c r="E17" s="5">
        <v>18316</v>
      </c>
      <c r="F17" s="5">
        <v>3329</v>
      </c>
    </row>
    <row r="18" spans="1:6">
      <c r="A18" s="4" t="s">
        <v>92</v>
      </c>
      <c r="B18" s="5">
        <v>23141</v>
      </c>
      <c r="C18" s="5">
        <v>4847</v>
      </c>
      <c r="D18" s="13">
        <v>30844</v>
      </c>
      <c r="E18" s="5">
        <v>25810</v>
      </c>
      <c r="F18" s="5">
        <v>18119</v>
      </c>
    </row>
    <row r="19" spans="1:6">
      <c r="A19" s="4" t="s">
        <v>93</v>
      </c>
      <c r="B19" s="5">
        <v>14726</v>
      </c>
      <c r="C19" s="5">
        <v>12076</v>
      </c>
      <c r="D19" s="13">
        <v>10167</v>
      </c>
      <c r="E19" s="5">
        <v>8247</v>
      </c>
      <c r="F19" s="5">
        <v>7768</v>
      </c>
    </row>
    <row r="20" spans="1:6">
      <c r="A20" s="4" t="s">
        <v>94</v>
      </c>
      <c r="B20" s="5">
        <v>6579</v>
      </c>
      <c r="C20" s="5">
        <v>24611</v>
      </c>
      <c r="D20" s="13">
        <v>24560</v>
      </c>
      <c r="E20" s="5">
        <v>22697</v>
      </c>
      <c r="F20" s="5">
        <v>15185</v>
      </c>
    </row>
    <row r="21" spans="1:6">
      <c r="A21" s="4" t="s">
        <v>9</v>
      </c>
      <c r="B21" s="5">
        <v>398353</v>
      </c>
      <c r="C21" s="5">
        <v>409040</v>
      </c>
      <c r="D21" s="13">
        <v>403713</v>
      </c>
      <c r="E21" s="5">
        <v>287759</v>
      </c>
      <c r="F21" s="5">
        <v>170312</v>
      </c>
    </row>
    <row r="22" spans="1:6">
      <c r="A22" s="4" t="s">
        <v>95</v>
      </c>
      <c r="B22" s="5">
        <v>78645</v>
      </c>
      <c r="C22" s="5">
        <v>71741</v>
      </c>
      <c r="D22" s="13">
        <v>95741</v>
      </c>
      <c r="E22" s="5">
        <v>111017</v>
      </c>
      <c r="F22" s="5">
        <v>281715</v>
      </c>
    </row>
    <row r="23" spans="1:6">
      <c r="A23" s="4" t="s">
        <v>96</v>
      </c>
      <c r="B23" s="5">
        <v>76163</v>
      </c>
      <c r="C23" s="5">
        <v>55649</v>
      </c>
      <c r="D23" s="13">
        <v>55940</v>
      </c>
      <c r="E23" s="5">
        <v>36546</v>
      </c>
      <c r="F23" s="5">
        <v>42200</v>
      </c>
    </row>
    <row r="24" spans="1:6">
      <c r="A24" s="4" t="s">
        <v>97</v>
      </c>
      <c r="B24" s="5">
        <v>20421</v>
      </c>
      <c r="C24" s="5">
        <v>13858</v>
      </c>
      <c r="D24" s="13">
        <v>23147</v>
      </c>
      <c r="E24" s="5">
        <v>13327</v>
      </c>
      <c r="F24" s="5">
        <v>13307</v>
      </c>
    </row>
    <row r="25" spans="1:6">
      <c r="A25" s="4" t="s">
        <v>10</v>
      </c>
      <c r="B25" s="5">
        <v>573582</v>
      </c>
      <c r="C25" s="5">
        <v>550288</v>
      </c>
      <c r="D25" s="13">
        <v>578541</v>
      </c>
      <c r="E25" s="5">
        <v>448649</v>
      </c>
      <c r="F25" s="5">
        <v>507534</v>
      </c>
    </row>
    <row r="26" spans="1:6">
      <c r="A26" s="4" t="s">
        <v>98</v>
      </c>
      <c r="B26" s="4" t="s">
        <v>99</v>
      </c>
      <c r="C26" s="4" t="s">
        <v>99</v>
      </c>
      <c r="D26" s="11" t="s">
        <v>99</v>
      </c>
      <c r="E26" s="4" t="s">
        <v>99</v>
      </c>
      <c r="F26" s="4" t="s">
        <v>99</v>
      </c>
    </row>
    <row r="27" spans="1:6">
      <c r="A27" s="3" t="s">
        <v>100</v>
      </c>
      <c r="B27" s="4" t="s">
        <v>1</v>
      </c>
      <c r="C27" s="4" t="s">
        <v>1</v>
      </c>
    </row>
    <row r="28" spans="1:6" ht="42.75">
      <c r="A28" s="4" t="s">
        <v>101</v>
      </c>
      <c r="B28" s="5">
        <v>886</v>
      </c>
      <c r="C28" s="5">
        <v>881</v>
      </c>
      <c r="D28" s="13">
        <v>877</v>
      </c>
      <c r="E28" s="5">
        <v>871</v>
      </c>
      <c r="F28" s="5">
        <v>868</v>
      </c>
    </row>
    <row r="29" spans="1:6">
      <c r="A29" s="4" t="s">
        <v>102</v>
      </c>
      <c r="B29" s="5">
        <v>-100025</v>
      </c>
      <c r="C29" s="5">
        <v>-100025</v>
      </c>
      <c r="D29" s="13">
        <v>0</v>
      </c>
      <c r="E29" s="5">
        <v>0</v>
      </c>
      <c r="F29" s="5">
        <v>0</v>
      </c>
    </row>
    <row r="30" spans="1:6">
      <c r="A30" s="4" t="s">
        <v>103</v>
      </c>
      <c r="B30" s="5">
        <v>0</v>
      </c>
      <c r="C30" s="5">
        <v>0</v>
      </c>
      <c r="D30" s="13">
        <v>337735</v>
      </c>
      <c r="E30" s="5">
        <v>321678</v>
      </c>
      <c r="F30" s="5">
        <v>310678</v>
      </c>
    </row>
    <row r="31" spans="1:6">
      <c r="A31" s="4" t="s">
        <v>11</v>
      </c>
      <c r="B31" s="5">
        <v>386377</v>
      </c>
      <c r="C31" s="5">
        <v>357490</v>
      </c>
      <c r="D31" s="13">
        <v>178858</v>
      </c>
      <c r="E31" s="5">
        <v>-33744</v>
      </c>
      <c r="F31" s="5">
        <v>-189545</v>
      </c>
    </row>
    <row r="32" spans="1:6">
      <c r="A32" s="4" t="s">
        <v>104</v>
      </c>
      <c r="B32" s="5">
        <v>438436</v>
      </c>
      <c r="C32" s="5">
        <v>268551</v>
      </c>
      <c r="D32" s="13">
        <v>353</v>
      </c>
      <c r="E32" s="5">
        <v>-387</v>
      </c>
      <c r="F32" s="5">
        <v>4</v>
      </c>
    </row>
    <row r="33" spans="1:6">
      <c r="A33" s="4" t="s">
        <v>105</v>
      </c>
      <c r="B33" s="5">
        <v>-2064</v>
      </c>
      <c r="C33" s="5">
        <v>-420</v>
      </c>
      <c r="D33" s="13">
        <v>517823</v>
      </c>
      <c r="E33" s="5">
        <v>288418</v>
      </c>
      <c r="F33" s="5">
        <v>122005</v>
      </c>
    </row>
    <row r="34" spans="1:6">
      <c r="A34" s="4" t="s">
        <v>183</v>
      </c>
      <c r="B34" s="5">
        <f>B28+B31+B32+B33</f>
        <v>823635</v>
      </c>
      <c r="C34" s="5">
        <f t="shared" ref="C34:F34" si="0">C28+C31+C32+C33</f>
        <v>626502</v>
      </c>
      <c r="D34" s="5">
        <f t="shared" si="0"/>
        <v>697911</v>
      </c>
      <c r="E34" s="5">
        <f t="shared" si="0"/>
        <v>255158</v>
      </c>
      <c r="F34" s="5">
        <f t="shared" si="0"/>
        <v>-66668</v>
      </c>
    </row>
    <row r="35" spans="1:6">
      <c r="A35" s="4" t="s">
        <v>106</v>
      </c>
      <c r="B35" s="5">
        <v>723610</v>
      </c>
      <c r="C35" s="5">
        <v>526477</v>
      </c>
      <c r="D35" s="12">
        <v>1096364</v>
      </c>
      <c r="E35" s="6">
        <v>737067</v>
      </c>
      <c r="F35" s="6">
        <v>629539</v>
      </c>
    </row>
    <row r="36" spans="1:6">
      <c r="A36" s="4" t="s">
        <v>107</v>
      </c>
      <c r="B36" s="6">
        <v>1297192</v>
      </c>
      <c r="C36" s="6">
        <v>1076765</v>
      </c>
      <c r="D3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5377-5E37-46D3-8B55-1309C3CF5BB7}">
  <sheetPr>
    <tabColor rgb="FF00B050"/>
  </sheetPr>
  <dimension ref="A1:F19"/>
  <sheetViews>
    <sheetView workbookViewId="0">
      <selection activeCell="B8" sqref="B8"/>
    </sheetView>
  </sheetViews>
  <sheetFormatPr defaultRowHeight="14.25"/>
  <cols>
    <col min="1" max="1" width="80" customWidth="1"/>
    <col min="2" max="2" width="16" customWidth="1"/>
    <col min="3" max="4" width="14" customWidth="1"/>
    <col min="5" max="6" width="12.6640625" customWidth="1"/>
  </cols>
  <sheetData>
    <row r="1" spans="1:6">
      <c r="A1" s="32" t="s">
        <v>108</v>
      </c>
      <c r="B1" s="37" t="s">
        <v>12</v>
      </c>
      <c r="C1" s="33"/>
      <c r="D1" s="33"/>
    </row>
    <row r="2" spans="1:6">
      <c r="A2" s="33"/>
      <c r="B2" s="2" t="s">
        <v>15</v>
      </c>
      <c r="C2" s="2" t="s">
        <v>0</v>
      </c>
      <c r="D2" s="2" t="s">
        <v>178</v>
      </c>
      <c r="E2" s="2" t="s">
        <v>177</v>
      </c>
      <c r="F2" s="2" t="s">
        <v>157</v>
      </c>
    </row>
    <row r="3" spans="1:6">
      <c r="A3" s="3" t="s">
        <v>109</v>
      </c>
      <c r="B3" s="4" t="s">
        <v>1</v>
      </c>
      <c r="C3" s="4" t="s">
        <v>1</v>
      </c>
      <c r="D3" s="4" t="s">
        <v>1</v>
      </c>
    </row>
    <row r="4" spans="1:6">
      <c r="A4" s="4" t="s">
        <v>110</v>
      </c>
      <c r="B4" s="6">
        <v>1658713</v>
      </c>
      <c r="C4" s="6">
        <v>1595222</v>
      </c>
      <c r="D4" s="6">
        <v>1410989</v>
      </c>
      <c r="E4" s="6">
        <v>1091721</v>
      </c>
      <c r="F4" s="6">
        <v>913734</v>
      </c>
    </row>
    <row r="5" spans="1:6">
      <c r="A5" s="4" t="s">
        <v>111</v>
      </c>
      <c r="B5" s="5">
        <v>715527</v>
      </c>
      <c r="C5" s="5">
        <v>831821</v>
      </c>
      <c r="D5" s="5">
        <v>594876</v>
      </c>
      <c r="E5" s="5">
        <v>462918</v>
      </c>
      <c r="F5" s="5">
        <v>438420</v>
      </c>
    </row>
    <row r="6" spans="1:6">
      <c r="A6" s="4" t="s">
        <v>112</v>
      </c>
      <c r="B6" s="5">
        <v>943186</v>
      </c>
      <c r="C6" s="5">
        <v>763401</v>
      </c>
      <c r="D6" s="5">
        <v>816113</v>
      </c>
      <c r="E6" s="5">
        <v>628803</v>
      </c>
      <c r="F6" s="5">
        <v>475314</v>
      </c>
    </row>
    <row r="7" spans="1:6">
      <c r="A7" s="4" t="s">
        <v>113</v>
      </c>
      <c r="B7" s="5">
        <v>717728</v>
      </c>
      <c r="C7" s="5">
        <v>637040</v>
      </c>
      <c r="D7" s="5">
        <v>541175</v>
      </c>
      <c r="E7" s="5">
        <v>414570</v>
      </c>
      <c r="F7" s="5">
        <v>385543</v>
      </c>
    </row>
    <row r="8" spans="1:6">
      <c r="A8" s="4" t="s">
        <v>114</v>
      </c>
      <c r="B8" s="5">
        <v>225458</v>
      </c>
      <c r="C8" s="5">
        <v>126361</v>
      </c>
      <c r="D8" s="5">
        <v>274938</v>
      </c>
      <c r="E8" s="5">
        <v>214233</v>
      </c>
      <c r="F8" s="5">
        <v>89771</v>
      </c>
    </row>
    <row r="9" spans="1:6">
      <c r="A9" s="4" t="s">
        <v>115</v>
      </c>
      <c r="B9" s="5">
        <v>-942</v>
      </c>
      <c r="C9" s="5">
        <v>-4466</v>
      </c>
      <c r="D9" s="5">
        <v>-3339</v>
      </c>
      <c r="E9" s="5">
        <v>-9155</v>
      </c>
      <c r="F9" s="5">
        <v>-21779</v>
      </c>
    </row>
    <row r="10" spans="1:6">
      <c r="A10" s="4" t="s">
        <v>116</v>
      </c>
      <c r="B10" s="5">
        <v>1430</v>
      </c>
      <c r="C10" s="5">
        <v>-5718</v>
      </c>
      <c r="D10" s="5">
        <v>-3189</v>
      </c>
      <c r="E10" s="5">
        <v>123</v>
      </c>
      <c r="F10" s="5">
        <v>-734</v>
      </c>
    </row>
    <row r="11" spans="1:6">
      <c r="A11" s="4" t="s">
        <v>117</v>
      </c>
      <c r="B11" s="5">
        <v>225946</v>
      </c>
      <c r="C11" s="5">
        <v>116177</v>
      </c>
      <c r="D11" s="5">
        <v>268410</v>
      </c>
      <c r="E11" s="5">
        <v>205201</v>
      </c>
      <c r="F11" s="5">
        <v>67258</v>
      </c>
    </row>
    <row r="12" spans="1:6">
      <c r="A12" s="4" t="s">
        <v>118</v>
      </c>
      <c r="B12" s="5">
        <v>-56061</v>
      </c>
      <c r="C12" s="5">
        <v>-26484</v>
      </c>
      <c r="D12" s="5">
        <v>-55808</v>
      </c>
      <c r="E12" s="5">
        <v>-49400</v>
      </c>
      <c r="F12" s="5">
        <v>-16824</v>
      </c>
    </row>
    <row r="13" spans="1:6">
      <c r="A13" s="4" t="s">
        <v>119</v>
      </c>
      <c r="B13" s="6">
        <v>169885</v>
      </c>
      <c r="C13" s="6">
        <v>89693</v>
      </c>
      <c r="D13" s="6">
        <v>212602</v>
      </c>
      <c r="E13" s="6">
        <v>155801</v>
      </c>
      <c r="F13" s="6">
        <v>50434</v>
      </c>
    </row>
    <row r="14" spans="1:6">
      <c r="A14" s="3" t="s">
        <v>120</v>
      </c>
      <c r="B14" s="4" t="s">
        <v>1</v>
      </c>
      <c r="C14" s="4" t="s">
        <v>1</v>
      </c>
      <c r="D14" s="4" t="s">
        <v>1</v>
      </c>
    </row>
    <row r="15" spans="1:6">
      <c r="A15" s="4" t="s">
        <v>121</v>
      </c>
      <c r="B15" s="7">
        <v>1.96</v>
      </c>
      <c r="C15" s="7">
        <v>1.04</v>
      </c>
      <c r="D15" s="7">
        <v>2.4300000000000002</v>
      </c>
      <c r="E15" s="7">
        <v>1.79</v>
      </c>
      <c r="F15" s="7">
        <v>0.59</v>
      </c>
    </row>
    <row r="16" spans="1:6">
      <c r="A16" s="4" t="s">
        <v>122</v>
      </c>
      <c r="B16" s="7">
        <v>1.94</v>
      </c>
      <c r="C16" s="7">
        <v>1.03</v>
      </c>
      <c r="D16" s="7">
        <v>2.4</v>
      </c>
      <c r="E16" s="7">
        <v>1.77</v>
      </c>
      <c r="F16" s="7">
        <v>0.57999999999999996</v>
      </c>
    </row>
    <row r="17" spans="1:6">
      <c r="A17" s="3" t="s">
        <v>123</v>
      </c>
      <c r="B17" s="4" t="s">
        <v>1</v>
      </c>
      <c r="C17" s="4" t="s">
        <v>1</v>
      </c>
      <c r="D17" s="4" t="s">
        <v>1</v>
      </c>
    </row>
    <row r="18" spans="1:6">
      <c r="A18" s="4" t="s">
        <v>124</v>
      </c>
      <c r="B18" s="5">
        <v>86717</v>
      </c>
      <c r="C18" s="5">
        <v>86521</v>
      </c>
      <c r="D18" s="5">
        <v>87425</v>
      </c>
      <c r="E18" s="5">
        <v>86978</v>
      </c>
      <c r="F18" s="5">
        <v>85088</v>
      </c>
    </row>
    <row r="19" spans="1:6">
      <c r="A19" s="4"/>
      <c r="B19" s="5">
        <v>87403</v>
      </c>
      <c r="C19" s="5">
        <v>87195</v>
      </c>
      <c r="D19" s="5">
        <v>88666</v>
      </c>
      <c r="E19" s="5">
        <v>87847</v>
      </c>
      <c r="F19" s="5">
        <v>86347</v>
      </c>
    </row>
  </sheetData>
  <mergeCells count="2">
    <mergeCell ref="A1:A2"/>
    <mergeCell ref="B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1C8E-A5A9-4D5C-BF09-189B991C4BB2}">
  <sheetPr>
    <tabColor rgb="FF7030A0"/>
  </sheetPr>
  <dimension ref="A1:G43"/>
  <sheetViews>
    <sheetView workbookViewId="0">
      <selection activeCell="A35" sqref="A35"/>
    </sheetView>
  </sheetViews>
  <sheetFormatPr defaultRowHeight="14.25"/>
  <cols>
    <col min="1" max="1" width="80" customWidth="1"/>
    <col min="2" max="2" width="16" customWidth="1"/>
    <col min="3" max="4" width="14" customWidth="1"/>
    <col min="5" max="5" width="16.46484375" customWidth="1"/>
    <col min="6" max="6" width="15.1328125" customWidth="1"/>
    <col min="7" max="7" width="13.9296875" customWidth="1"/>
  </cols>
  <sheetData>
    <row r="1" spans="1:7">
      <c r="A1" s="32" t="s">
        <v>125</v>
      </c>
      <c r="B1" s="37" t="s">
        <v>12</v>
      </c>
      <c r="C1" s="37"/>
      <c r="D1" s="37"/>
      <c r="E1" s="37"/>
      <c r="F1" s="37"/>
      <c r="G1" s="37"/>
    </row>
    <row r="2" spans="1:7">
      <c r="A2" s="33"/>
      <c r="B2" s="2" t="s">
        <v>15</v>
      </c>
      <c r="C2" s="2" t="s">
        <v>0</v>
      </c>
      <c r="D2" s="2" t="s">
        <v>180</v>
      </c>
      <c r="E2" s="2" t="s">
        <v>177</v>
      </c>
      <c r="F2" s="2" t="s">
        <v>157</v>
      </c>
    </row>
    <row r="3" spans="1:7">
      <c r="A3" s="3" t="s">
        <v>126</v>
      </c>
      <c r="B3" s="4" t="s">
        <v>1</v>
      </c>
      <c r="C3" s="4" t="s">
        <v>1</v>
      </c>
      <c r="D3" s="4" t="s">
        <v>1</v>
      </c>
    </row>
    <row r="4" spans="1:7">
      <c r="A4" s="4" t="s">
        <v>119</v>
      </c>
      <c r="B4" s="6">
        <v>169885</v>
      </c>
      <c r="C4" s="6">
        <v>89693</v>
      </c>
      <c r="D4" s="6">
        <v>212602</v>
      </c>
      <c r="E4" s="6">
        <v>155801</v>
      </c>
      <c r="F4" s="6">
        <v>50434</v>
      </c>
    </row>
    <row r="5" spans="1:7">
      <c r="A5" s="3" t="s">
        <v>127</v>
      </c>
      <c r="B5" s="4" t="s">
        <v>1</v>
      </c>
      <c r="C5" s="4" t="s">
        <v>1</v>
      </c>
      <c r="D5" s="4" t="s">
        <v>1</v>
      </c>
    </row>
    <row r="6" spans="1:7">
      <c r="A6" s="4" t="s">
        <v>128</v>
      </c>
      <c r="B6" s="5">
        <v>46434</v>
      </c>
      <c r="C6" s="5">
        <v>39847</v>
      </c>
      <c r="D6" s="5">
        <v>32070</v>
      </c>
      <c r="E6" s="5">
        <v>30535</v>
      </c>
      <c r="F6" s="5">
        <v>28959</v>
      </c>
    </row>
    <row r="7" spans="1:7">
      <c r="A7" s="4" t="s">
        <v>129</v>
      </c>
      <c r="B7" s="5">
        <v>604</v>
      </c>
      <c r="C7" s="5">
        <v>601</v>
      </c>
      <c r="D7" s="5">
        <v>679</v>
      </c>
      <c r="E7" s="5">
        <v>935</v>
      </c>
      <c r="F7" s="5">
        <v>2189</v>
      </c>
    </row>
    <row r="8" spans="1:7">
      <c r="A8" s="4" t="s">
        <v>13</v>
      </c>
      <c r="B8" s="5">
        <v>29800</v>
      </c>
      <c r="C8" s="5">
        <v>17799</v>
      </c>
      <c r="D8" s="5">
        <v>15474</v>
      </c>
      <c r="E8" s="5">
        <v>9009</v>
      </c>
      <c r="F8" s="5">
        <v>52332</v>
      </c>
    </row>
    <row r="9" spans="1:7">
      <c r="A9" s="4" t="s">
        <v>5</v>
      </c>
      <c r="B9" s="5">
        <v>25561</v>
      </c>
      <c r="C9" s="5">
        <v>-403</v>
      </c>
      <c r="D9" s="5">
        <v>5147</v>
      </c>
      <c r="E9" s="5">
        <v>-3827</v>
      </c>
      <c r="F9" s="5">
        <v>15615</v>
      </c>
    </row>
    <row r="10" spans="1:7">
      <c r="A10" s="4" t="s">
        <v>130</v>
      </c>
      <c r="B10" s="5">
        <v>2927</v>
      </c>
      <c r="C10" s="5">
        <v>1229</v>
      </c>
      <c r="D10" s="5">
        <v>2473</v>
      </c>
      <c r="E10" s="5">
        <v>1051</v>
      </c>
      <c r="F10" s="5">
        <v>616</v>
      </c>
    </row>
    <row r="11" spans="1:7">
      <c r="A11" s="4" t="s">
        <v>131</v>
      </c>
      <c r="B11" s="5">
        <v>330</v>
      </c>
      <c r="C11" s="5">
        <v>0</v>
      </c>
      <c r="D11" s="5">
        <v>0</v>
      </c>
      <c r="E11" s="5">
        <v>1064</v>
      </c>
      <c r="F11" s="5">
        <v>643</v>
      </c>
    </row>
    <row r="12" spans="1:7">
      <c r="A12" s="4" t="s">
        <v>132</v>
      </c>
      <c r="B12" s="5">
        <v>1895</v>
      </c>
      <c r="C12" s="5">
        <v>97176</v>
      </c>
      <c r="D12" s="5">
        <v>0</v>
      </c>
      <c r="E12" s="5">
        <v>-74</v>
      </c>
      <c r="F12" s="5">
        <v>0</v>
      </c>
    </row>
    <row r="13" spans="1:7">
      <c r="A13" s="4" t="s">
        <v>6</v>
      </c>
      <c r="B13" s="5">
        <v>-6163</v>
      </c>
      <c r="C13" s="5">
        <v>2039</v>
      </c>
      <c r="D13" s="5">
        <v>1022</v>
      </c>
    </row>
    <row r="14" spans="1:7">
      <c r="A14" s="3" t="s">
        <v>133</v>
      </c>
      <c r="B14" s="4" t="s">
        <v>1</v>
      </c>
      <c r="C14" s="4" t="s">
        <v>1</v>
      </c>
      <c r="D14" s="4" t="s">
        <v>1</v>
      </c>
      <c r="E14" s="5">
        <v>16353</v>
      </c>
      <c r="F14" s="5">
        <v>-19940</v>
      </c>
    </row>
    <row r="15" spans="1:7">
      <c r="A15" s="4" t="s">
        <v>82</v>
      </c>
      <c r="B15" s="5">
        <v>-15683</v>
      </c>
      <c r="C15" s="5">
        <v>30448</v>
      </c>
      <c r="D15" s="5">
        <v>-44681</v>
      </c>
      <c r="E15" s="5">
        <v>46052</v>
      </c>
      <c r="F15" s="5">
        <v>-40541</v>
      </c>
    </row>
    <row r="16" spans="1:7">
      <c r="A16" s="4" t="s">
        <v>83</v>
      </c>
      <c r="B16" s="5">
        <v>33675</v>
      </c>
      <c r="C16" s="5">
        <v>-91624</v>
      </c>
      <c r="D16" s="5">
        <v>-179803</v>
      </c>
      <c r="E16" s="5">
        <v>1982</v>
      </c>
      <c r="F16" s="5">
        <v>-6798</v>
      </c>
    </row>
    <row r="17" spans="1:6">
      <c r="A17" s="4" t="s">
        <v>2</v>
      </c>
      <c r="B17" s="5">
        <v>-7933</v>
      </c>
      <c r="C17" s="5">
        <v>-2187</v>
      </c>
      <c r="D17" s="5">
        <v>-10587</v>
      </c>
      <c r="E17" s="5">
        <v>89125</v>
      </c>
      <c r="F17" s="5">
        <v>6614</v>
      </c>
    </row>
    <row r="18" spans="1:6">
      <c r="A18" s="4" t="s">
        <v>134</v>
      </c>
      <c r="B18" s="5">
        <v>-15144</v>
      </c>
      <c r="C18" s="5">
        <v>-86242</v>
      </c>
      <c r="D18" s="5">
        <v>112773</v>
      </c>
      <c r="E18" s="5">
        <v>14943</v>
      </c>
      <c r="F18" s="5">
        <v>-3101</v>
      </c>
    </row>
    <row r="19" spans="1:6">
      <c r="A19" s="4" t="s">
        <v>91</v>
      </c>
      <c r="B19" s="5">
        <v>18156</v>
      </c>
      <c r="C19" s="5">
        <v>439</v>
      </c>
      <c r="D19" s="5">
        <v>-3781</v>
      </c>
      <c r="E19" s="5">
        <v>3478</v>
      </c>
      <c r="F19" s="5">
        <v>-129</v>
      </c>
    </row>
    <row r="20" spans="1:6">
      <c r="A20" s="4" t="s">
        <v>6</v>
      </c>
      <c r="B20" s="5">
        <v>1598</v>
      </c>
      <c r="C20" s="5">
        <v>2079</v>
      </c>
      <c r="D20" s="5">
        <v>3132</v>
      </c>
      <c r="E20" s="5">
        <v>366427</v>
      </c>
      <c r="F20" s="5">
        <v>86893</v>
      </c>
    </row>
    <row r="21" spans="1:6">
      <c r="A21" s="4" t="s">
        <v>135</v>
      </c>
      <c r="B21" s="5">
        <v>285942</v>
      </c>
      <c r="C21" s="5">
        <v>100894</v>
      </c>
      <c r="D21" s="5">
        <v>146520</v>
      </c>
    </row>
    <row r="22" spans="1:6">
      <c r="A22" s="3" t="s">
        <v>136</v>
      </c>
      <c r="B22" s="4" t="s">
        <v>1</v>
      </c>
      <c r="C22" s="4" t="s">
        <v>1</v>
      </c>
      <c r="D22" s="4" t="s">
        <v>1</v>
      </c>
      <c r="E22" s="5">
        <v>-15566</v>
      </c>
      <c r="F22" s="5">
        <v>-32077</v>
      </c>
    </row>
    <row r="23" spans="1:6">
      <c r="A23" s="4" t="s">
        <v>137</v>
      </c>
      <c r="B23" s="5">
        <v>-50672</v>
      </c>
      <c r="C23" s="5">
        <v>-45929</v>
      </c>
      <c r="D23" s="5">
        <v>-56121</v>
      </c>
      <c r="E23" s="5">
        <v>-7378</v>
      </c>
      <c r="F23" s="5">
        <v>-16614</v>
      </c>
    </row>
    <row r="24" spans="1:6">
      <c r="A24" s="4" t="s">
        <v>138</v>
      </c>
      <c r="B24" s="5">
        <v>-22152</v>
      </c>
      <c r="C24" s="5">
        <v>-10981</v>
      </c>
      <c r="D24" s="5">
        <v>-9635</v>
      </c>
      <c r="E24" s="5">
        <v>0</v>
      </c>
      <c r="F24" s="5">
        <v>0</v>
      </c>
    </row>
    <row r="25" spans="1:6">
      <c r="A25" s="4" t="s">
        <v>139</v>
      </c>
      <c r="B25" s="5">
        <v>-72824</v>
      </c>
      <c r="C25" s="5">
        <v>-56910</v>
      </c>
      <c r="D25" s="5">
        <v>-65756</v>
      </c>
      <c r="E25" s="5">
        <v>-22944</v>
      </c>
      <c r="F25" s="5">
        <v>-48691</v>
      </c>
    </row>
    <row r="26" spans="1:6">
      <c r="A26" s="3" t="s">
        <v>140</v>
      </c>
      <c r="B26" s="4" t="s">
        <v>1</v>
      </c>
      <c r="C26" s="4" t="s">
        <v>1</v>
      </c>
      <c r="D26" s="4" t="s">
        <v>1</v>
      </c>
    </row>
    <row r="27" spans="1:6">
      <c r="A27" s="4" t="s">
        <v>141</v>
      </c>
      <c r="B27" s="5">
        <v>-7734</v>
      </c>
      <c r="C27" s="5">
        <v>-22500</v>
      </c>
      <c r="D27" s="5">
        <v>-22500</v>
      </c>
      <c r="E27" s="5">
        <v>50000</v>
      </c>
      <c r="F27" s="5">
        <v>0</v>
      </c>
    </row>
    <row r="28" spans="1:6">
      <c r="A28" s="4" t="s">
        <v>142</v>
      </c>
      <c r="B28" s="5">
        <v>1573</v>
      </c>
      <c r="C28" s="5">
        <v>3821</v>
      </c>
      <c r="D28" s="5">
        <v>4095</v>
      </c>
      <c r="E28" s="5">
        <v>-50000</v>
      </c>
      <c r="F28" s="5">
        <v>0</v>
      </c>
    </row>
    <row r="29" spans="1:6">
      <c r="A29" s="4" t="s">
        <v>143</v>
      </c>
      <c r="B29" s="5">
        <v>-2481</v>
      </c>
      <c r="C29" s="5">
        <v>-1861</v>
      </c>
      <c r="D29" s="5">
        <v>-3506</v>
      </c>
      <c r="E29" s="5">
        <v>-165000</v>
      </c>
      <c r="F29" s="5">
        <v>-34875</v>
      </c>
    </row>
    <row r="30" spans="1:6">
      <c r="A30" s="4" t="s">
        <v>144</v>
      </c>
      <c r="B30" s="5">
        <v>-2130</v>
      </c>
      <c r="C30" s="5">
        <v>-2063</v>
      </c>
      <c r="D30" s="5">
        <v>-1108</v>
      </c>
      <c r="E30" s="5">
        <v>3022</v>
      </c>
      <c r="F30" s="5">
        <v>3561</v>
      </c>
    </row>
    <row r="31" spans="1:6">
      <c r="A31" s="4" t="s">
        <v>145</v>
      </c>
      <c r="B31" s="5">
        <v>0</v>
      </c>
      <c r="C31" s="5">
        <v>-100025</v>
      </c>
      <c r="D31" s="5">
        <v>0</v>
      </c>
      <c r="E31" s="5">
        <v>-1028</v>
      </c>
      <c r="F31" s="5">
        <v>-13516</v>
      </c>
    </row>
    <row r="32" spans="1:6">
      <c r="A32" s="4" t="s">
        <v>146</v>
      </c>
      <c r="B32" s="5">
        <v>-2824</v>
      </c>
      <c r="C32" s="5">
        <v>0</v>
      </c>
      <c r="D32" s="5">
        <v>0</v>
      </c>
      <c r="E32" s="5">
        <v>-185</v>
      </c>
      <c r="F32" s="5">
        <v>-74</v>
      </c>
    </row>
    <row r="33" spans="1:6">
      <c r="A33" s="4" t="s">
        <v>147</v>
      </c>
      <c r="B33" s="5">
        <v>-13596</v>
      </c>
      <c r="C33" s="5">
        <v>-122628</v>
      </c>
      <c r="D33" s="5">
        <v>-23019</v>
      </c>
      <c r="E33" s="5">
        <v>0</v>
      </c>
      <c r="F33" s="5">
        <v>-64250</v>
      </c>
    </row>
    <row r="34" spans="1:6">
      <c r="A34" s="4" t="s">
        <v>148</v>
      </c>
      <c r="B34" s="5">
        <v>4697</v>
      </c>
      <c r="C34" s="5">
        <v>1196</v>
      </c>
      <c r="D34" s="5">
        <v>1161</v>
      </c>
      <c r="E34" s="5">
        <v>0</v>
      </c>
      <c r="F34" s="5">
        <v>66238</v>
      </c>
    </row>
    <row r="35" spans="1:6">
      <c r="A35" s="4" t="s">
        <v>149</v>
      </c>
      <c r="B35" s="5">
        <v>204219</v>
      </c>
      <c r="C35" s="5">
        <v>-77448</v>
      </c>
      <c r="D35" s="5">
        <v>58906</v>
      </c>
      <c r="E35" s="5">
        <v>0</v>
      </c>
      <c r="F35" s="5">
        <v>-2135</v>
      </c>
    </row>
    <row r="36" spans="1:6">
      <c r="A36" s="4" t="s">
        <v>150</v>
      </c>
      <c r="B36" s="5">
        <v>234741</v>
      </c>
      <c r="C36" s="5">
        <v>312189</v>
      </c>
      <c r="D36" s="5">
        <v>253283</v>
      </c>
      <c r="E36" s="5">
        <v>0</v>
      </c>
      <c r="F36" s="5">
        <v>-636</v>
      </c>
    </row>
    <row r="37" spans="1:6">
      <c r="A37" s="4" t="s">
        <v>151</v>
      </c>
      <c r="B37" s="5">
        <v>438960</v>
      </c>
      <c r="C37" s="5">
        <v>234741</v>
      </c>
      <c r="D37" s="5">
        <v>312189</v>
      </c>
      <c r="E37" s="5">
        <v>0</v>
      </c>
      <c r="F37" s="5">
        <v>0</v>
      </c>
    </row>
    <row r="38" spans="1:6">
      <c r="A38" s="3" t="s">
        <v>152</v>
      </c>
      <c r="B38" s="4" t="s">
        <v>1</v>
      </c>
      <c r="C38" s="4" t="s">
        <v>1</v>
      </c>
      <c r="D38" s="4" t="s">
        <v>1</v>
      </c>
      <c r="E38" s="5">
        <v>0</v>
      </c>
      <c r="F38" s="5">
        <v>0</v>
      </c>
    </row>
    <row r="39" spans="1:6">
      <c r="A39" s="4" t="s">
        <v>153</v>
      </c>
      <c r="B39" s="5">
        <v>6688</v>
      </c>
      <c r="C39" s="5">
        <v>2961</v>
      </c>
      <c r="D39" s="5">
        <v>2365</v>
      </c>
      <c r="E39" s="5">
        <v>-163191</v>
      </c>
      <c r="F39" s="5">
        <v>-45687</v>
      </c>
    </row>
    <row r="40" spans="1:6">
      <c r="A40" s="4" t="s">
        <v>154</v>
      </c>
      <c r="B40" s="5">
        <v>14131</v>
      </c>
      <c r="C40" s="5">
        <v>58822</v>
      </c>
      <c r="D40" s="5">
        <v>58819</v>
      </c>
      <c r="E40" s="5">
        <v>476</v>
      </c>
      <c r="F40" s="5">
        <v>-51</v>
      </c>
    </row>
    <row r="41" spans="1:6">
      <c r="A41" s="3" t="s">
        <v>155</v>
      </c>
      <c r="B41" s="4" t="s">
        <v>1</v>
      </c>
      <c r="C41" s="4" t="s">
        <v>1</v>
      </c>
      <c r="D41" s="4" t="s">
        <v>1</v>
      </c>
      <c r="E41" s="5">
        <v>180768</v>
      </c>
      <c r="F41" s="5">
        <v>-7536</v>
      </c>
    </row>
    <row r="42" spans="1:6">
      <c r="A42" s="4" t="s">
        <v>156</v>
      </c>
      <c r="B42" s="6">
        <v>2647</v>
      </c>
      <c r="C42" s="6">
        <v>3801</v>
      </c>
      <c r="D42" s="6">
        <v>9865</v>
      </c>
      <c r="E42" s="5">
        <v>72515</v>
      </c>
      <c r="F42" s="5">
        <v>80051</v>
      </c>
    </row>
    <row r="43" spans="1:6">
      <c r="E43" s="6">
        <v>253283</v>
      </c>
      <c r="F43" s="6">
        <v>72515</v>
      </c>
    </row>
  </sheetData>
  <mergeCells count="2">
    <mergeCell ref="A1:A2"/>
    <mergeCell ref="B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B4BD1-E7E7-4D30-9130-3EC74AE52FC6}">
  <sheetPr>
    <tabColor theme="2" tint="-0.499984740745262"/>
  </sheetPr>
  <dimension ref="B3:M257"/>
  <sheetViews>
    <sheetView workbookViewId="0">
      <selection activeCell="D3" sqref="D3"/>
    </sheetView>
  </sheetViews>
  <sheetFormatPr defaultRowHeight="14.25"/>
  <cols>
    <col min="2" max="2" width="10.19921875" bestFit="1" customWidth="1"/>
    <col min="5" max="5" width="9.19921875" bestFit="1" customWidth="1"/>
    <col min="7" max="7" width="9.19921875" bestFit="1" customWidth="1"/>
    <col min="9" max="9" width="16.265625" bestFit="1" customWidth="1"/>
  </cols>
  <sheetData>
    <row r="3" spans="2:13">
      <c r="B3" s="24" t="s">
        <v>209</v>
      </c>
    </row>
    <row r="4" spans="2:13">
      <c r="B4" s="23"/>
      <c r="C4" s="23"/>
      <c r="D4" s="23"/>
      <c r="E4" s="23"/>
      <c r="F4" s="23" t="s">
        <v>199</v>
      </c>
      <c r="G4" s="23"/>
      <c r="H4" s="23"/>
      <c r="I4" s="23"/>
      <c r="J4" s="23"/>
    </row>
    <row r="5" spans="2:13">
      <c r="B5" s="23" t="s">
        <v>197</v>
      </c>
      <c r="C5" s="23" t="s">
        <v>198</v>
      </c>
      <c r="D5" s="23"/>
      <c r="E5" s="23" t="s">
        <v>197</v>
      </c>
      <c r="F5" s="23" t="s">
        <v>198</v>
      </c>
      <c r="G5" s="23" t="s">
        <v>200</v>
      </c>
      <c r="H5" s="23" t="s">
        <v>201</v>
      </c>
      <c r="I5" s="23" t="s">
        <v>202</v>
      </c>
      <c r="J5" s="23" t="s">
        <v>203</v>
      </c>
      <c r="K5" s="28" t="s">
        <v>204</v>
      </c>
      <c r="L5" s="29" t="s">
        <v>205</v>
      </c>
      <c r="M5" s="30" t="s">
        <v>206</v>
      </c>
    </row>
    <row r="6" spans="2:13">
      <c r="B6" s="22">
        <v>45293</v>
      </c>
      <c r="C6">
        <v>50.369998931884702</v>
      </c>
      <c r="E6" s="22">
        <v>45659</v>
      </c>
      <c r="F6">
        <v>37.520000457763601</v>
      </c>
      <c r="G6" s="25">
        <f>-0.0079*E6+399.95</f>
        <v>39.24389999999994</v>
      </c>
      <c r="H6" s="19">
        <f>ABS(G6-F6)</f>
        <v>1.7238995422363388</v>
      </c>
      <c r="I6" s="26">
        <f>H6^2</f>
        <v>2.9718296317226582</v>
      </c>
      <c r="J6" s="27">
        <f>H6/F6</f>
        <v>4.5946149285817271E-2</v>
      </c>
      <c r="K6" s="19">
        <f>ABS(H6:H8)</f>
        <v>1.7238995422363388</v>
      </c>
      <c r="L6" s="19">
        <f t="shared" ref="L6:M6" si="0">ABS(I6:I8)</f>
        <v>2.9718296317226582</v>
      </c>
      <c r="M6" s="14">
        <f t="shared" si="0"/>
        <v>4.5946149285817271E-2</v>
      </c>
    </row>
    <row r="7" spans="2:13">
      <c r="B7" s="22">
        <v>45294</v>
      </c>
      <c r="C7">
        <v>47.139999389648402</v>
      </c>
      <c r="E7" s="22">
        <v>45660</v>
      </c>
      <c r="F7">
        <v>38.119998931884702</v>
      </c>
      <c r="G7" s="25">
        <f t="shared" ref="G7:G8" si="1">-0.0079*E7+399.95</f>
        <v>39.235999999999933</v>
      </c>
      <c r="H7" s="19">
        <f t="shared" ref="H7:H8" si="2">ABS(G7-F7)</f>
        <v>1.1160010681152315</v>
      </c>
      <c r="I7" s="26">
        <f t="shared" ref="I7:I8" si="3">H7^2</f>
        <v>1.2454583840343376</v>
      </c>
      <c r="J7" s="27">
        <f t="shared" ref="J7:J8" si="4">H7/F7</f>
        <v>2.9275999459217585E-2</v>
      </c>
      <c r="K7" s="9" t="s">
        <v>207</v>
      </c>
      <c r="L7" s="31">
        <v>7.7100000000000002E-2</v>
      </c>
    </row>
    <row r="8" spans="2:13">
      <c r="B8" s="22">
        <v>45295</v>
      </c>
      <c r="C8">
        <v>46.080001831054602</v>
      </c>
      <c r="E8" s="22">
        <v>45663</v>
      </c>
      <c r="F8">
        <v>38.130001068115199</v>
      </c>
      <c r="G8" s="25">
        <f t="shared" si="1"/>
        <v>39.212299999999971</v>
      </c>
      <c r="H8" s="19">
        <f t="shared" si="2"/>
        <v>1.0822989318847718</v>
      </c>
      <c r="I8" s="26">
        <f t="shared" si="3"/>
        <v>1.1713709779589179</v>
      </c>
      <c r="J8" s="27">
        <f t="shared" si="4"/>
        <v>2.8384445359740735E-2</v>
      </c>
      <c r="K8" s="9" t="s">
        <v>208</v>
      </c>
      <c r="L8" s="31">
        <f>SQRT(L7)</f>
        <v>0.27766886753829639</v>
      </c>
    </row>
    <row r="9" spans="2:13">
      <c r="B9" s="22">
        <v>45296</v>
      </c>
      <c r="C9">
        <v>45.569999694824197</v>
      </c>
      <c r="E9" s="22"/>
      <c r="G9" s="25"/>
      <c r="H9" s="19"/>
      <c r="I9" s="26"/>
      <c r="J9" s="27"/>
    </row>
    <row r="10" spans="2:13">
      <c r="B10" s="22">
        <v>45299</v>
      </c>
      <c r="C10">
        <v>46.520000457763601</v>
      </c>
      <c r="E10" s="22"/>
      <c r="G10" s="25"/>
      <c r="H10" s="19"/>
      <c r="I10" s="26"/>
      <c r="J10" s="27"/>
    </row>
    <row r="11" spans="2:13">
      <c r="B11" s="22">
        <v>45300</v>
      </c>
      <c r="C11">
        <v>46.610000610351499</v>
      </c>
      <c r="E11" s="22"/>
    </row>
    <row r="12" spans="2:13">
      <c r="B12" s="22">
        <v>45301</v>
      </c>
      <c r="C12">
        <v>47.400001525878899</v>
      </c>
      <c r="E12" s="22"/>
    </row>
    <row r="13" spans="2:13">
      <c r="B13" s="22">
        <v>45302</v>
      </c>
      <c r="C13">
        <v>46.470001220703097</v>
      </c>
      <c r="E13" s="22"/>
    </row>
    <row r="14" spans="2:13">
      <c r="B14" s="22">
        <v>45303</v>
      </c>
      <c r="C14">
        <v>45.75</v>
      </c>
      <c r="E14" s="22"/>
    </row>
    <row r="15" spans="2:13">
      <c r="B15" s="22">
        <v>45307</v>
      </c>
      <c r="C15">
        <v>45.840000152587798</v>
      </c>
      <c r="E15" s="22"/>
    </row>
    <row r="16" spans="2:13">
      <c r="B16" s="22">
        <v>45308</v>
      </c>
      <c r="C16">
        <v>44.680000305175703</v>
      </c>
      <c r="E16" s="22"/>
    </row>
    <row r="17" spans="2:5">
      <c r="B17" s="22">
        <v>45309</v>
      </c>
      <c r="C17">
        <v>44.900001525878899</v>
      </c>
      <c r="E17" s="22"/>
    </row>
    <row r="18" spans="2:5">
      <c r="B18" s="22">
        <v>45310</v>
      </c>
      <c r="C18">
        <v>45.790000915527301</v>
      </c>
      <c r="E18" s="22"/>
    </row>
    <row r="19" spans="2:5">
      <c r="B19" s="22">
        <v>45313</v>
      </c>
      <c r="C19">
        <v>46.919998168945298</v>
      </c>
      <c r="E19" s="22"/>
    </row>
    <row r="20" spans="2:5">
      <c r="B20" s="22">
        <v>45314</v>
      </c>
      <c r="C20">
        <v>46.439998626708899</v>
      </c>
      <c r="E20" s="22"/>
    </row>
    <row r="21" spans="2:5">
      <c r="B21" s="22">
        <v>45315</v>
      </c>
      <c r="C21">
        <v>44.7299995422363</v>
      </c>
      <c r="E21" s="22"/>
    </row>
    <row r="22" spans="2:5">
      <c r="B22" s="22">
        <v>45316</v>
      </c>
      <c r="C22">
        <v>45.419998168945298</v>
      </c>
      <c r="E22" s="22"/>
    </row>
    <row r="23" spans="2:5">
      <c r="B23" s="22">
        <v>45317</v>
      </c>
      <c r="C23">
        <v>45.7299995422363</v>
      </c>
      <c r="E23" s="22"/>
    </row>
    <row r="24" spans="2:5">
      <c r="B24" s="22">
        <v>45320</v>
      </c>
      <c r="C24">
        <v>46.389999389648402</v>
      </c>
      <c r="E24" s="22"/>
    </row>
    <row r="25" spans="2:5">
      <c r="B25" s="22">
        <v>45321</v>
      </c>
      <c r="C25">
        <v>45.310001373291001</v>
      </c>
      <c r="E25" s="22"/>
    </row>
    <row r="26" spans="2:5">
      <c r="B26" s="22">
        <v>45322</v>
      </c>
      <c r="C26">
        <v>43.970001220703097</v>
      </c>
      <c r="E26" s="22"/>
    </row>
    <row r="27" spans="2:5">
      <c r="B27" s="22">
        <v>45323</v>
      </c>
      <c r="C27">
        <v>43.680000305175703</v>
      </c>
      <c r="E27" s="22"/>
    </row>
    <row r="28" spans="2:5">
      <c r="B28" s="22">
        <v>45324</v>
      </c>
      <c r="C28">
        <v>44.169998168945298</v>
      </c>
      <c r="E28" s="22"/>
    </row>
    <row r="29" spans="2:5">
      <c r="B29" s="22">
        <v>45327</v>
      </c>
      <c r="C29">
        <v>42.770000457763601</v>
      </c>
      <c r="E29" s="22"/>
    </row>
    <row r="30" spans="2:5">
      <c r="B30" s="22">
        <v>45328</v>
      </c>
      <c r="C30">
        <v>42.840000152587798</v>
      </c>
      <c r="E30" s="22"/>
    </row>
    <row r="31" spans="2:5">
      <c r="B31" s="22">
        <v>45329</v>
      </c>
      <c r="C31">
        <v>43.529998779296797</v>
      </c>
      <c r="E31" s="22"/>
    </row>
    <row r="32" spans="2:5">
      <c r="B32" s="22">
        <v>45330</v>
      </c>
      <c r="C32">
        <v>45.459999084472599</v>
      </c>
      <c r="E32" s="22"/>
    </row>
    <row r="33" spans="2:5">
      <c r="B33" s="22">
        <v>45331</v>
      </c>
      <c r="C33">
        <v>45.849998474121001</v>
      </c>
      <c r="E33" s="22"/>
    </row>
    <row r="34" spans="2:5">
      <c r="B34" s="22">
        <v>45334</v>
      </c>
      <c r="C34">
        <v>49</v>
      </c>
    </row>
    <row r="35" spans="2:5">
      <c r="B35" s="22">
        <v>45335</v>
      </c>
      <c r="C35">
        <v>47.330001831054602</v>
      </c>
    </row>
    <row r="36" spans="2:5">
      <c r="B36" s="22">
        <v>45336</v>
      </c>
      <c r="C36">
        <v>48.200000762939403</v>
      </c>
    </row>
    <row r="37" spans="2:5">
      <c r="B37" s="22">
        <v>45337</v>
      </c>
      <c r="C37">
        <v>41.529998779296797</v>
      </c>
    </row>
    <row r="38" spans="2:5">
      <c r="B38" s="22">
        <v>45338</v>
      </c>
      <c r="C38">
        <v>39.119998931884702</v>
      </c>
    </row>
    <row r="39" spans="2:5">
      <c r="B39" s="22">
        <v>45342</v>
      </c>
      <c r="C39">
        <v>38.569999694824197</v>
      </c>
    </row>
    <row r="40" spans="2:5">
      <c r="B40" s="22">
        <v>45343</v>
      </c>
      <c r="C40">
        <v>38.430000305175703</v>
      </c>
    </row>
    <row r="41" spans="2:5">
      <c r="B41" s="22">
        <v>45344</v>
      </c>
      <c r="C41">
        <v>37.919998168945298</v>
      </c>
    </row>
    <row r="42" spans="2:5">
      <c r="B42" s="22">
        <v>45345</v>
      </c>
      <c r="C42">
        <v>37.529998779296797</v>
      </c>
    </row>
    <row r="43" spans="2:5">
      <c r="B43" s="22">
        <v>45348</v>
      </c>
      <c r="C43">
        <v>38.799999237060497</v>
      </c>
    </row>
    <row r="44" spans="2:5">
      <c r="B44" s="22">
        <v>45349</v>
      </c>
      <c r="C44">
        <v>40.029998779296797</v>
      </c>
    </row>
    <row r="45" spans="2:5">
      <c r="B45" s="22">
        <v>45350</v>
      </c>
      <c r="C45">
        <v>41.509998321533203</v>
      </c>
    </row>
    <row r="46" spans="2:5">
      <c r="B46" s="22">
        <v>45351</v>
      </c>
      <c r="C46">
        <v>41.040000915527301</v>
      </c>
    </row>
    <row r="47" spans="2:5">
      <c r="B47" s="22">
        <v>45352</v>
      </c>
      <c r="C47">
        <v>41.279998779296797</v>
      </c>
    </row>
    <row r="48" spans="2:5">
      <c r="B48" s="22">
        <v>45355</v>
      </c>
      <c r="C48">
        <v>40.950000762939403</v>
      </c>
    </row>
    <row r="49" spans="2:3">
      <c r="B49" s="22">
        <v>45356</v>
      </c>
      <c r="C49">
        <v>40.029998779296797</v>
      </c>
    </row>
    <row r="50" spans="2:3">
      <c r="B50" s="22">
        <v>45357</v>
      </c>
      <c r="C50">
        <v>38.959999084472599</v>
      </c>
    </row>
    <row r="51" spans="2:3">
      <c r="B51" s="22">
        <v>45358</v>
      </c>
      <c r="C51">
        <v>38.909999847412102</v>
      </c>
    </row>
    <row r="52" spans="2:3">
      <c r="B52" s="22">
        <v>45359</v>
      </c>
      <c r="C52">
        <v>38.830001831054602</v>
      </c>
    </row>
    <row r="53" spans="2:3">
      <c r="B53" s="22">
        <v>45362</v>
      </c>
      <c r="C53">
        <v>38.490001678466797</v>
      </c>
    </row>
    <row r="54" spans="2:3">
      <c r="B54" s="22">
        <v>45363</v>
      </c>
      <c r="C54">
        <v>37.810001373291001</v>
      </c>
    </row>
    <row r="55" spans="2:3">
      <c r="B55" s="22">
        <v>45364</v>
      </c>
      <c r="C55">
        <v>38.279998779296797</v>
      </c>
    </row>
    <row r="56" spans="2:3">
      <c r="B56" s="22">
        <v>45365</v>
      </c>
      <c r="C56">
        <v>37.159999847412102</v>
      </c>
    </row>
    <row r="57" spans="2:3">
      <c r="B57" s="22">
        <v>45366</v>
      </c>
      <c r="C57">
        <v>37.049999237060497</v>
      </c>
    </row>
    <row r="58" spans="2:3">
      <c r="B58" s="22">
        <v>45369</v>
      </c>
      <c r="C58">
        <v>36.610000610351499</v>
      </c>
    </row>
    <row r="59" spans="2:3">
      <c r="B59" s="22">
        <v>45370</v>
      </c>
      <c r="C59">
        <v>36.490001678466797</v>
      </c>
    </row>
    <row r="60" spans="2:3">
      <c r="B60" s="22">
        <v>45371</v>
      </c>
      <c r="C60">
        <v>37.419998168945298</v>
      </c>
    </row>
    <row r="61" spans="2:3">
      <c r="B61" s="22">
        <v>45372</v>
      </c>
      <c r="C61">
        <v>37.619998931884702</v>
      </c>
    </row>
    <row r="62" spans="2:3">
      <c r="B62" s="22">
        <v>45373</v>
      </c>
      <c r="C62">
        <v>37.330001831054602</v>
      </c>
    </row>
    <row r="63" spans="2:3">
      <c r="B63" s="22">
        <v>45376</v>
      </c>
      <c r="C63">
        <v>36.959999084472599</v>
      </c>
    </row>
    <row r="64" spans="2:3">
      <c r="B64" s="22">
        <v>45377</v>
      </c>
      <c r="C64">
        <v>36.919998168945298</v>
      </c>
    </row>
    <row r="65" spans="2:3">
      <c r="B65" s="22">
        <v>45378</v>
      </c>
      <c r="C65">
        <v>38.340000152587798</v>
      </c>
    </row>
    <row r="66" spans="2:3">
      <c r="B66" s="22">
        <v>45379</v>
      </c>
      <c r="C66">
        <v>38.549999237060497</v>
      </c>
    </row>
    <row r="67" spans="2:3">
      <c r="B67" s="22">
        <v>45383</v>
      </c>
      <c r="C67">
        <v>38.380001068115199</v>
      </c>
    </row>
    <row r="68" spans="2:3">
      <c r="B68" s="22">
        <v>45384</v>
      </c>
      <c r="C68">
        <v>38.130001068115199</v>
      </c>
    </row>
    <row r="69" spans="2:3">
      <c r="B69" s="22">
        <v>45385</v>
      </c>
      <c r="C69">
        <v>39.369998931884702</v>
      </c>
    </row>
    <row r="70" spans="2:3">
      <c r="B70" s="22">
        <v>45386</v>
      </c>
      <c r="C70">
        <v>37.909999847412102</v>
      </c>
    </row>
    <row r="71" spans="2:3">
      <c r="B71" s="22">
        <v>45387</v>
      </c>
      <c r="C71">
        <v>38</v>
      </c>
    </row>
    <row r="72" spans="2:3">
      <c r="B72" s="22">
        <v>45390</v>
      </c>
      <c r="C72">
        <v>38.040000915527301</v>
      </c>
    </row>
    <row r="73" spans="2:3">
      <c r="B73" s="22">
        <v>45391</v>
      </c>
      <c r="C73">
        <v>39.159999847412102</v>
      </c>
    </row>
    <row r="74" spans="2:3">
      <c r="B74" s="22">
        <v>45392</v>
      </c>
      <c r="C74">
        <v>38.680000305175703</v>
      </c>
    </row>
    <row r="75" spans="2:3">
      <c r="B75" s="22">
        <v>45393</v>
      </c>
      <c r="C75">
        <v>38.759998321533203</v>
      </c>
    </row>
    <row r="76" spans="2:3">
      <c r="B76" s="22">
        <v>45394</v>
      </c>
      <c r="C76">
        <v>37.860000610351499</v>
      </c>
    </row>
    <row r="77" spans="2:3">
      <c r="B77" s="22">
        <v>45397</v>
      </c>
      <c r="C77">
        <v>37.520000457763601</v>
      </c>
    </row>
    <row r="78" spans="2:3">
      <c r="B78" s="22">
        <v>45398</v>
      </c>
      <c r="C78">
        <v>37.709999084472599</v>
      </c>
    </row>
    <row r="79" spans="2:3">
      <c r="B79" s="22">
        <v>45399</v>
      </c>
      <c r="C79">
        <v>37.029998779296797</v>
      </c>
    </row>
    <row r="80" spans="2:3">
      <c r="B80" s="22">
        <v>45400</v>
      </c>
      <c r="C80">
        <v>37</v>
      </c>
    </row>
    <row r="81" spans="2:3">
      <c r="B81" s="22">
        <v>45401</v>
      </c>
      <c r="C81">
        <v>37.290000915527301</v>
      </c>
    </row>
    <row r="82" spans="2:3">
      <c r="B82" s="22">
        <v>45404</v>
      </c>
      <c r="C82">
        <v>36.360000610351499</v>
      </c>
    </row>
    <row r="83" spans="2:3">
      <c r="B83" s="22">
        <v>45405</v>
      </c>
      <c r="C83">
        <v>36.270000457763601</v>
      </c>
    </row>
    <row r="84" spans="2:3">
      <c r="B84" s="22">
        <v>45406</v>
      </c>
      <c r="C84">
        <v>35.669998168945298</v>
      </c>
    </row>
    <row r="85" spans="2:3">
      <c r="B85" s="22">
        <v>45407</v>
      </c>
      <c r="C85">
        <v>35.580001831054602</v>
      </c>
    </row>
    <row r="86" spans="2:3">
      <c r="B86" s="22">
        <v>45408</v>
      </c>
      <c r="C86">
        <v>36.150001525878899</v>
      </c>
    </row>
    <row r="87" spans="2:3">
      <c r="B87" s="22">
        <v>45411</v>
      </c>
      <c r="C87">
        <v>37</v>
      </c>
    </row>
    <row r="88" spans="2:3">
      <c r="B88" s="22">
        <v>45412</v>
      </c>
      <c r="C88">
        <v>35.720001220703097</v>
      </c>
    </row>
    <row r="89" spans="2:3">
      <c r="B89" s="22">
        <v>45413</v>
      </c>
      <c r="C89">
        <v>34.709999084472599</v>
      </c>
    </row>
    <row r="90" spans="2:3">
      <c r="B90" s="22">
        <v>45414</v>
      </c>
      <c r="C90">
        <v>34.389999389648402</v>
      </c>
    </row>
    <row r="91" spans="2:3">
      <c r="B91" s="22">
        <v>45415</v>
      </c>
      <c r="C91">
        <v>34.610000610351499</v>
      </c>
    </row>
    <row r="92" spans="2:3">
      <c r="B92" s="22">
        <v>45418</v>
      </c>
      <c r="C92">
        <v>34.970001220703097</v>
      </c>
    </row>
    <row r="93" spans="2:3">
      <c r="B93" s="22">
        <v>45419</v>
      </c>
      <c r="C93">
        <v>35.560001373291001</v>
      </c>
    </row>
    <row r="94" spans="2:3">
      <c r="B94" s="22">
        <v>45420</v>
      </c>
      <c r="C94">
        <v>34.810001373291001</v>
      </c>
    </row>
    <row r="95" spans="2:3">
      <c r="B95" s="22">
        <v>45421</v>
      </c>
      <c r="C95">
        <v>39.259998321533203</v>
      </c>
    </row>
    <row r="96" spans="2:3">
      <c r="B96" s="22">
        <v>45422</v>
      </c>
      <c r="C96">
        <v>39.669998168945298</v>
      </c>
    </row>
    <row r="97" spans="2:3">
      <c r="B97" s="22">
        <v>45425</v>
      </c>
      <c r="C97">
        <v>40.529998779296797</v>
      </c>
    </row>
    <row r="98" spans="2:3">
      <c r="B98" s="22">
        <v>45426</v>
      </c>
      <c r="C98">
        <v>41.909999847412102</v>
      </c>
    </row>
    <row r="99" spans="2:3">
      <c r="B99" s="22">
        <v>45427</v>
      </c>
      <c r="C99">
        <v>41.069999694824197</v>
      </c>
    </row>
    <row r="100" spans="2:3">
      <c r="B100" s="22">
        <v>45428</v>
      </c>
      <c r="C100">
        <v>40.599998474121001</v>
      </c>
    </row>
    <row r="101" spans="2:3">
      <c r="B101" s="22">
        <v>45429</v>
      </c>
      <c r="C101">
        <v>39.5</v>
      </c>
    </row>
    <row r="102" spans="2:3">
      <c r="B102" s="22">
        <v>45432</v>
      </c>
      <c r="C102">
        <v>39.159999847412102</v>
      </c>
    </row>
    <row r="103" spans="2:3">
      <c r="B103" s="22">
        <v>45433</v>
      </c>
      <c r="C103">
        <v>40.080001831054602</v>
      </c>
    </row>
    <row r="104" spans="2:3">
      <c r="B104" s="22">
        <v>45434</v>
      </c>
      <c r="C104">
        <v>38.770000457763601</v>
      </c>
    </row>
    <row r="105" spans="2:3">
      <c r="B105" s="22">
        <v>45435</v>
      </c>
      <c r="C105">
        <v>37.939998626708899</v>
      </c>
    </row>
    <row r="106" spans="2:3">
      <c r="B106" s="22">
        <v>45436</v>
      </c>
      <c r="C106">
        <v>38.209999084472599</v>
      </c>
    </row>
    <row r="107" spans="2:3">
      <c r="B107" s="22">
        <v>45440</v>
      </c>
      <c r="C107">
        <v>39.349998474121001</v>
      </c>
    </row>
    <row r="108" spans="2:3">
      <c r="B108" s="22">
        <v>45441</v>
      </c>
      <c r="C108">
        <v>38.819999694824197</v>
      </c>
    </row>
    <row r="109" spans="2:3">
      <c r="B109" s="22">
        <v>45442</v>
      </c>
      <c r="C109">
        <v>39.799999237060497</v>
      </c>
    </row>
    <row r="110" spans="2:3">
      <c r="B110" s="22">
        <v>45443</v>
      </c>
      <c r="C110">
        <v>40.740001678466797</v>
      </c>
    </row>
    <row r="111" spans="2:3">
      <c r="B111" s="22">
        <v>45446</v>
      </c>
      <c r="C111">
        <v>41.740001678466797</v>
      </c>
    </row>
    <row r="112" spans="2:3">
      <c r="B112" s="22">
        <v>45447</v>
      </c>
      <c r="C112">
        <v>42.159999847412102</v>
      </c>
    </row>
    <row r="113" spans="2:3">
      <c r="B113" s="22">
        <v>45448</v>
      </c>
      <c r="C113">
        <v>43.75</v>
      </c>
    </row>
    <row r="114" spans="2:3">
      <c r="B114" s="22">
        <v>45449</v>
      </c>
      <c r="C114">
        <v>43.740001678466797</v>
      </c>
    </row>
    <row r="115" spans="2:3">
      <c r="B115" s="22">
        <v>45450</v>
      </c>
      <c r="C115">
        <v>43.029998779296797</v>
      </c>
    </row>
    <row r="116" spans="2:3">
      <c r="B116" s="22">
        <v>45453</v>
      </c>
      <c r="C116">
        <v>42.909999847412102</v>
      </c>
    </row>
    <row r="117" spans="2:3">
      <c r="B117" s="22">
        <v>45454</v>
      </c>
      <c r="C117">
        <v>42.639999389648402</v>
      </c>
    </row>
    <row r="118" spans="2:3">
      <c r="B118" s="22">
        <v>45455</v>
      </c>
      <c r="C118">
        <v>42.720001220703097</v>
      </c>
    </row>
    <row r="119" spans="2:3">
      <c r="B119" s="22">
        <v>45456</v>
      </c>
      <c r="C119">
        <v>41.520000457763601</v>
      </c>
    </row>
    <row r="120" spans="2:3">
      <c r="B120" s="22">
        <v>45457</v>
      </c>
      <c r="C120">
        <v>40.080001831054602</v>
      </c>
    </row>
    <row r="121" spans="2:3">
      <c r="B121" s="22">
        <v>45460</v>
      </c>
      <c r="C121">
        <v>41.080001831054602</v>
      </c>
    </row>
    <row r="122" spans="2:3">
      <c r="B122" s="22">
        <v>45461</v>
      </c>
      <c r="C122">
        <v>40.380001068115199</v>
      </c>
    </row>
    <row r="123" spans="2:3">
      <c r="B123" s="22">
        <v>45463</v>
      </c>
      <c r="C123">
        <v>41</v>
      </c>
    </row>
    <row r="124" spans="2:3">
      <c r="B124" s="22">
        <v>45464</v>
      </c>
      <c r="C124">
        <v>40.939998626708899</v>
      </c>
    </row>
    <row r="125" spans="2:3">
      <c r="B125" s="22">
        <v>45467</v>
      </c>
      <c r="C125">
        <v>40.209999084472599</v>
      </c>
    </row>
    <row r="126" spans="2:3">
      <c r="B126" s="22">
        <v>45468</v>
      </c>
      <c r="C126">
        <v>39.400001525878899</v>
      </c>
    </row>
    <row r="127" spans="2:3">
      <c r="B127" s="22">
        <v>45469</v>
      </c>
      <c r="C127">
        <v>39.9799995422363</v>
      </c>
    </row>
    <row r="128" spans="2:3">
      <c r="B128" s="22">
        <v>45470</v>
      </c>
      <c r="C128">
        <v>39.310001373291001</v>
      </c>
    </row>
    <row r="129" spans="2:3">
      <c r="B129" s="22">
        <v>45471</v>
      </c>
      <c r="C129">
        <v>38.150001525878899</v>
      </c>
    </row>
    <row r="130" spans="2:3">
      <c r="B130" s="22">
        <v>45474</v>
      </c>
      <c r="C130">
        <v>36.939998626708899</v>
      </c>
    </row>
    <row r="131" spans="2:3">
      <c r="B131" s="22">
        <v>45475</v>
      </c>
      <c r="C131">
        <v>37.200000762939403</v>
      </c>
    </row>
    <row r="132" spans="2:3">
      <c r="B132" s="22">
        <v>45476</v>
      </c>
      <c r="C132">
        <v>37.209999084472599</v>
      </c>
    </row>
    <row r="133" spans="2:3">
      <c r="B133" s="22">
        <v>45478</v>
      </c>
      <c r="C133">
        <v>37.189998626708899</v>
      </c>
    </row>
    <row r="134" spans="2:3">
      <c r="B134" s="22">
        <v>45481</v>
      </c>
      <c r="C134">
        <v>37.560001373291001</v>
      </c>
    </row>
    <row r="135" spans="2:3">
      <c r="B135" s="22">
        <v>45482</v>
      </c>
      <c r="C135">
        <v>36.299999237060497</v>
      </c>
    </row>
    <row r="136" spans="2:3">
      <c r="B136" s="22">
        <v>45483</v>
      </c>
      <c r="C136">
        <v>37.389999389648402</v>
      </c>
    </row>
    <row r="137" spans="2:3">
      <c r="B137" s="22">
        <v>45484</v>
      </c>
      <c r="C137">
        <v>39.630001068115199</v>
      </c>
    </row>
    <row r="138" spans="2:3">
      <c r="B138" s="22">
        <v>45485</v>
      </c>
      <c r="C138">
        <v>40.139999389648402</v>
      </c>
    </row>
    <row r="139" spans="2:3">
      <c r="B139" s="22">
        <v>45488</v>
      </c>
      <c r="C139">
        <v>39.139999389648402</v>
      </c>
    </row>
    <row r="140" spans="2:3">
      <c r="B140" s="22">
        <v>45489</v>
      </c>
      <c r="C140">
        <v>39.849998474121001</v>
      </c>
    </row>
    <row r="141" spans="2:3">
      <c r="B141" s="22">
        <v>45490</v>
      </c>
      <c r="C141">
        <v>39.830001831054602</v>
      </c>
    </row>
    <row r="142" spans="2:3">
      <c r="B142" s="22">
        <v>45491</v>
      </c>
      <c r="C142">
        <v>39.25</v>
      </c>
    </row>
    <row r="143" spans="2:3">
      <c r="B143" s="22">
        <v>45492</v>
      </c>
      <c r="C143">
        <v>38.990001678466797</v>
      </c>
    </row>
    <row r="144" spans="2:3">
      <c r="B144" s="22">
        <v>45495</v>
      </c>
      <c r="C144">
        <v>37.990001678466797</v>
      </c>
    </row>
    <row r="145" spans="2:3">
      <c r="B145" s="22">
        <v>45496</v>
      </c>
      <c r="C145">
        <v>37.4799995422363</v>
      </c>
    </row>
    <row r="146" spans="2:3">
      <c r="B146" s="22">
        <v>45497</v>
      </c>
      <c r="C146">
        <v>36.569999694824197</v>
      </c>
    </row>
    <row r="147" spans="2:3">
      <c r="B147" s="22">
        <v>45498</v>
      </c>
      <c r="C147">
        <v>37.7299995422363</v>
      </c>
    </row>
    <row r="148" spans="2:3">
      <c r="B148" s="22">
        <v>45499</v>
      </c>
      <c r="C148">
        <v>39.090000152587798</v>
      </c>
    </row>
    <row r="149" spans="2:3">
      <c r="B149" s="22">
        <v>45502</v>
      </c>
      <c r="C149">
        <v>39.849998474121001</v>
      </c>
    </row>
    <row r="150" spans="2:3">
      <c r="B150" s="22">
        <v>45503</v>
      </c>
      <c r="C150">
        <v>40.610000610351499</v>
      </c>
    </row>
    <row r="151" spans="2:3">
      <c r="B151" s="22">
        <v>45504</v>
      </c>
      <c r="C151">
        <v>41.349998474121001</v>
      </c>
    </row>
    <row r="152" spans="2:3">
      <c r="B152" s="22">
        <v>45505</v>
      </c>
      <c r="C152">
        <v>40.299999237060497</v>
      </c>
    </row>
    <row r="153" spans="2:3">
      <c r="B153" s="22">
        <v>45506</v>
      </c>
      <c r="C153">
        <v>39.389999389648402</v>
      </c>
    </row>
    <row r="154" spans="2:3">
      <c r="B154" s="22">
        <v>45509</v>
      </c>
      <c r="C154">
        <v>38.060001373291001</v>
      </c>
    </row>
    <row r="155" spans="2:3">
      <c r="B155" s="22">
        <v>45510</v>
      </c>
      <c r="C155">
        <v>38.490001678466797</v>
      </c>
    </row>
    <row r="156" spans="2:3">
      <c r="B156" s="22">
        <v>45511</v>
      </c>
      <c r="C156">
        <v>37.029998779296797</v>
      </c>
    </row>
    <row r="157" spans="2:3">
      <c r="B157" s="22">
        <v>45512</v>
      </c>
      <c r="C157">
        <v>43.119998931884702</v>
      </c>
    </row>
    <row r="158" spans="2:3">
      <c r="B158" s="22">
        <v>45513</v>
      </c>
      <c r="C158">
        <v>40.9799995422363</v>
      </c>
    </row>
    <row r="159" spans="2:3">
      <c r="B159" s="22">
        <v>45516</v>
      </c>
      <c r="C159">
        <v>39.75</v>
      </c>
    </row>
    <row r="160" spans="2:3">
      <c r="B160" s="22">
        <v>45517</v>
      </c>
      <c r="C160">
        <v>41.689998626708899</v>
      </c>
    </row>
    <row r="161" spans="2:3">
      <c r="B161" s="22">
        <v>45518</v>
      </c>
      <c r="C161">
        <v>40.009998321533203</v>
      </c>
    </row>
    <row r="162" spans="2:3">
      <c r="B162" s="22">
        <v>45519</v>
      </c>
      <c r="C162">
        <v>41.950000762939403</v>
      </c>
    </row>
    <row r="163" spans="2:3">
      <c r="B163" s="22">
        <v>45520</v>
      </c>
      <c r="C163">
        <v>41.610000610351499</v>
      </c>
    </row>
    <row r="164" spans="2:3">
      <c r="B164" s="22">
        <v>45523</v>
      </c>
      <c r="C164">
        <v>40.810001373291001</v>
      </c>
    </row>
    <row r="165" spans="2:3">
      <c r="B165" s="22">
        <v>45524</v>
      </c>
      <c r="C165">
        <v>39.759998321533203</v>
      </c>
    </row>
    <row r="166" spans="2:3">
      <c r="B166" s="22">
        <v>45525</v>
      </c>
      <c r="C166">
        <v>41.080001831054602</v>
      </c>
    </row>
    <row r="167" spans="2:3">
      <c r="B167" s="22">
        <v>45526</v>
      </c>
      <c r="C167">
        <v>40.560001373291001</v>
      </c>
    </row>
    <row r="168" spans="2:3">
      <c r="B168" s="22">
        <v>45527</v>
      </c>
      <c r="C168">
        <v>40.740001678466797</v>
      </c>
    </row>
    <row r="169" spans="2:3">
      <c r="B169" s="22">
        <v>45530</v>
      </c>
      <c r="C169">
        <v>40.939998626708899</v>
      </c>
    </row>
    <row r="170" spans="2:3">
      <c r="B170" s="22">
        <v>45531</v>
      </c>
      <c r="C170">
        <v>40.400001525878899</v>
      </c>
    </row>
    <row r="171" spans="2:3">
      <c r="B171" s="22">
        <v>45532</v>
      </c>
      <c r="C171">
        <v>39.580001831054602</v>
      </c>
    </row>
    <row r="172" spans="2:3">
      <c r="B172" s="22">
        <v>45533</v>
      </c>
      <c r="C172">
        <v>40.369998931884702</v>
      </c>
    </row>
    <row r="173" spans="2:3">
      <c r="B173" s="22">
        <v>45534</v>
      </c>
      <c r="C173">
        <v>40.319999694824197</v>
      </c>
    </row>
    <row r="174" spans="2:3">
      <c r="B174" s="22">
        <v>45538</v>
      </c>
      <c r="C174">
        <v>39.099998474121001</v>
      </c>
    </row>
    <row r="175" spans="2:3">
      <c r="B175" s="22">
        <v>45539</v>
      </c>
      <c r="C175">
        <v>38.520000457763601</v>
      </c>
    </row>
    <row r="176" spans="2:3">
      <c r="B176" s="22">
        <v>45540</v>
      </c>
      <c r="C176">
        <v>37.9799995422363</v>
      </c>
    </row>
    <row r="177" spans="2:3">
      <c r="B177" s="22">
        <v>45541</v>
      </c>
      <c r="C177">
        <v>37.310001373291001</v>
      </c>
    </row>
    <row r="178" spans="2:3">
      <c r="B178" s="22">
        <v>45544</v>
      </c>
      <c r="C178">
        <v>36.270000457763601</v>
      </c>
    </row>
    <row r="179" spans="2:3">
      <c r="B179" s="22">
        <v>45545</v>
      </c>
      <c r="C179">
        <v>36.069999694824197</v>
      </c>
    </row>
    <row r="180" spans="2:3">
      <c r="B180" s="22">
        <v>45546</v>
      </c>
      <c r="C180">
        <v>37.459999084472599</v>
      </c>
    </row>
    <row r="181" spans="2:3">
      <c r="B181" s="22">
        <v>45547</v>
      </c>
      <c r="C181">
        <v>37.919998168945298</v>
      </c>
    </row>
    <row r="182" spans="2:3">
      <c r="B182" s="22">
        <v>45548</v>
      </c>
      <c r="C182">
        <v>39.060001373291001</v>
      </c>
    </row>
    <row r="183" spans="2:3">
      <c r="B183" s="22">
        <v>45551</v>
      </c>
      <c r="C183">
        <v>39.2299995422363</v>
      </c>
    </row>
    <row r="184" spans="2:3">
      <c r="B184" s="22">
        <v>45552</v>
      </c>
      <c r="C184">
        <v>39.270000457763601</v>
      </c>
    </row>
    <row r="185" spans="2:3">
      <c r="B185" s="22">
        <v>45553</v>
      </c>
      <c r="C185">
        <v>39.060001373291001</v>
      </c>
    </row>
    <row r="186" spans="2:3">
      <c r="B186" s="22">
        <v>45554</v>
      </c>
      <c r="C186">
        <v>39.959999084472599</v>
      </c>
    </row>
    <row r="187" spans="2:3">
      <c r="B187" s="22">
        <v>45555</v>
      </c>
      <c r="C187">
        <v>39.770000457763601</v>
      </c>
    </row>
    <row r="188" spans="2:3">
      <c r="B188" s="22">
        <v>45558</v>
      </c>
      <c r="C188">
        <v>39.119998931884702</v>
      </c>
    </row>
    <row r="189" spans="2:3">
      <c r="B189" s="22">
        <v>45559</v>
      </c>
      <c r="C189">
        <v>39.099998474121001</v>
      </c>
    </row>
    <row r="190" spans="2:3">
      <c r="B190" s="22">
        <v>45560</v>
      </c>
      <c r="C190">
        <v>38.680000305175703</v>
      </c>
    </row>
    <row r="191" spans="2:3">
      <c r="B191" s="22">
        <v>45561</v>
      </c>
      <c r="C191">
        <v>40.380001068115199</v>
      </c>
    </row>
    <row r="192" spans="2:3">
      <c r="B192" s="22">
        <v>45562</v>
      </c>
      <c r="C192">
        <v>40.680000305175703</v>
      </c>
    </row>
    <row r="193" spans="2:3">
      <c r="B193" s="22">
        <v>45565</v>
      </c>
      <c r="C193">
        <v>41.029998779296797</v>
      </c>
    </row>
    <row r="194" spans="2:3">
      <c r="B194" s="22">
        <v>45566</v>
      </c>
      <c r="C194">
        <v>40.779998779296797</v>
      </c>
    </row>
    <row r="195" spans="2:3">
      <c r="B195" s="22">
        <v>45567</v>
      </c>
      <c r="C195">
        <v>40.75</v>
      </c>
    </row>
    <row r="196" spans="2:3">
      <c r="B196" s="22">
        <v>45568</v>
      </c>
      <c r="C196">
        <v>40.590000152587798</v>
      </c>
    </row>
    <row r="197" spans="2:3">
      <c r="B197" s="22">
        <v>45569</v>
      </c>
      <c r="C197">
        <v>40.889999389648402</v>
      </c>
    </row>
    <row r="198" spans="2:3">
      <c r="B198" s="22">
        <v>45572</v>
      </c>
      <c r="C198">
        <v>41.630001068115199</v>
      </c>
    </row>
    <row r="199" spans="2:3">
      <c r="B199" s="22">
        <v>45573</v>
      </c>
      <c r="C199">
        <v>41.650001525878899</v>
      </c>
    </row>
    <row r="200" spans="2:3">
      <c r="B200" s="22">
        <v>45574</v>
      </c>
      <c r="C200">
        <v>41.680000305175703</v>
      </c>
    </row>
    <row r="201" spans="2:3">
      <c r="B201" s="22">
        <v>45575</v>
      </c>
      <c r="C201">
        <v>42.110000610351499</v>
      </c>
    </row>
    <row r="202" spans="2:3">
      <c r="B202" s="22">
        <v>45576</v>
      </c>
      <c r="C202">
        <v>42.040000915527301</v>
      </c>
    </row>
    <row r="203" spans="2:3">
      <c r="B203" s="22">
        <v>45579</v>
      </c>
      <c r="C203">
        <v>41.009998321533203</v>
      </c>
    </row>
    <row r="204" spans="2:3">
      <c r="B204" s="22">
        <v>45580</v>
      </c>
      <c r="C204">
        <v>41.389999389648402</v>
      </c>
    </row>
    <row r="205" spans="2:3">
      <c r="B205" s="22">
        <v>45581</v>
      </c>
      <c r="C205">
        <v>40.569999694824197</v>
      </c>
    </row>
    <row r="206" spans="2:3">
      <c r="B206" s="22">
        <v>45582</v>
      </c>
      <c r="C206">
        <v>39.529998779296797</v>
      </c>
    </row>
    <row r="207" spans="2:3">
      <c r="B207" s="22">
        <v>45583</v>
      </c>
      <c r="C207">
        <v>38.430000305175703</v>
      </c>
    </row>
    <row r="208" spans="2:3">
      <c r="B208" s="22">
        <v>45586</v>
      </c>
      <c r="C208">
        <v>37.139999389648402</v>
      </c>
    </row>
    <row r="209" spans="2:3">
      <c r="B209" s="22">
        <v>45587</v>
      </c>
      <c r="C209">
        <v>36.580001831054602</v>
      </c>
    </row>
    <row r="210" spans="2:3">
      <c r="B210" s="22">
        <v>45588</v>
      </c>
      <c r="C210">
        <v>36.009998321533203</v>
      </c>
    </row>
    <row r="211" spans="2:3">
      <c r="B211" s="22">
        <v>45589</v>
      </c>
      <c r="C211">
        <v>36.380001068115199</v>
      </c>
    </row>
    <row r="212" spans="2:3">
      <c r="B212" s="22">
        <v>45590</v>
      </c>
      <c r="C212">
        <v>35.700000762939403</v>
      </c>
    </row>
    <row r="213" spans="2:3">
      <c r="B213" s="22">
        <v>45593</v>
      </c>
      <c r="C213">
        <v>35.840000152587798</v>
      </c>
    </row>
    <row r="214" spans="2:3">
      <c r="B214" s="22">
        <v>45594</v>
      </c>
      <c r="C214">
        <v>35.669998168945298</v>
      </c>
    </row>
    <row r="215" spans="2:3">
      <c r="B215" s="22">
        <v>45595</v>
      </c>
      <c r="C215">
        <v>35.7299995422363</v>
      </c>
    </row>
    <row r="216" spans="2:3">
      <c r="B216" s="22">
        <v>45596</v>
      </c>
      <c r="C216">
        <v>35.209999084472599</v>
      </c>
    </row>
    <row r="217" spans="2:3">
      <c r="B217" s="22">
        <v>45597</v>
      </c>
      <c r="C217">
        <v>35.419998168945298</v>
      </c>
    </row>
    <row r="218" spans="2:3">
      <c r="B218" s="22">
        <v>45600</v>
      </c>
      <c r="C218">
        <v>36.740001678466797</v>
      </c>
    </row>
    <row r="219" spans="2:3">
      <c r="B219" s="22">
        <v>45601</v>
      </c>
      <c r="C219">
        <v>37.25</v>
      </c>
    </row>
    <row r="220" spans="2:3">
      <c r="B220" s="22">
        <v>45602</v>
      </c>
      <c r="C220">
        <v>36.130001068115199</v>
      </c>
    </row>
    <row r="221" spans="2:3">
      <c r="B221" s="22">
        <v>45603</v>
      </c>
      <c r="C221">
        <v>38.869998931884702</v>
      </c>
    </row>
    <row r="222" spans="2:3">
      <c r="B222" s="22">
        <v>45604</v>
      </c>
      <c r="C222">
        <v>38.659999847412102</v>
      </c>
    </row>
    <row r="223" spans="2:3">
      <c r="B223" s="22">
        <v>45607</v>
      </c>
      <c r="C223">
        <v>41.290000915527301</v>
      </c>
    </row>
    <row r="224" spans="2:3">
      <c r="B224" s="22">
        <v>45608</v>
      </c>
      <c r="C224">
        <v>41.380001068115199</v>
      </c>
    </row>
    <row r="225" spans="2:3">
      <c r="B225" s="22">
        <v>45609</v>
      </c>
      <c r="C225">
        <v>40.650001525878899</v>
      </c>
    </row>
    <row r="226" spans="2:3">
      <c r="B226" s="22">
        <v>45610</v>
      </c>
      <c r="C226">
        <v>38.720001220703097</v>
      </c>
    </row>
    <row r="227" spans="2:3">
      <c r="B227" s="22">
        <v>45611</v>
      </c>
      <c r="C227">
        <v>38.159999847412102</v>
      </c>
    </row>
    <row r="228" spans="2:3">
      <c r="B228" s="22">
        <v>45614</v>
      </c>
      <c r="C228">
        <v>37.759998321533203</v>
      </c>
    </row>
    <row r="229" spans="2:3">
      <c r="B229" s="22">
        <v>45615</v>
      </c>
      <c r="C229">
        <v>38.009998321533203</v>
      </c>
    </row>
    <row r="230" spans="2:3">
      <c r="B230" s="22">
        <v>45616</v>
      </c>
      <c r="C230">
        <v>37.2299995422363</v>
      </c>
    </row>
    <row r="231" spans="2:3">
      <c r="B231" s="22">
        <v>45617</v>
      </c>
      <c r="C231">
        <v>38.5</v>
      </c>
    </row>
    <row r="232" spans="2:3">
      <c r="B232" s="22">
        <v>45618</v>
      </c>
      <c r="C232">
        <v>39.610000610351499</v>
      </c>
    </row>
    <row r="233" spans="2:3">
      <c r="B233" s="22">
        <v>45621</v>
      </c>
      <c r="C233">
        <v>40.520000457763601</v>
      </c>
    </row>
    <row r="234" spans="2:3">
      <c r="B234" s="22">
        <v>45622</v>
      </c>
      <c r="C234">
        <v>39.819999694824197</v>
      </c>
    </row>
    <row r="235" spans="2:3">
      <c r="B235" s="22">
        <v>45623</v>
      </c>
      <c r="C235">
        <v>40.330001831054602</v>
      </c>
    </row>
    <row r="236" spans="2:3">
      <c r="B236" s="22">
        <v>45625</v>
      </c>
      <c r="C236">
        <v>40.369998931884702</v>
      </c>
    </row>
    <row r="237" spans="2:3">
      <c r="B237" s="22">
        <v>45628</v>
      </c>
      <c r="C237">
        <v>41.200000762939403</v>
      </c>
    </row>
    <row r="238" spans="2:3">
      <c r="B238" s="22">
        <v>45629</v>
      </c>
      <c r="C238">
        <v>41.290000915527301</v>
      </c>
    </row>
    <row r="239" spans="2:3">
      <c r="B239" s="22">
        <v>45630</v>
      </c>
      <c r="C239">
        <v>42.700000762939403</v>
      </c>
    </row>
    <row r="240" spans="2:3">
      <c r="B240" s="22">
        <v>45631</v>
      </c>
      <c r="C240">
        <v>41.610000610351499</v>
      </c>
    </row>
    <row r="241" spans="2:3">
      <c r="B241" s="22">
        <v>45632</v>
      </c>
      <c r="C241">
        <v>42.439998626708899</v>
      </c>
    </row>
    <row r="242" spans="2:3">
      <c r="B242" s="22">
        <v>45635</v>
      </c>
      <c r="C242">
        <v>43.470001220703097</v>
      </c>
    </row>
    <row r="243" spans="2:3">
      <c r="B243" s="22">
        <v>45636</v>
      </c>
      <c r="C243">
        <v>43.869998931884702</v>
      </c>
    </row>
    <row r="244" spans="2:3">
      <c r="B244" s="22">
        <v>45637</v>
      </c>
      <c r="C244">
        <v>44.799999237060497</v>
      </c>
    </row>
    <row r="245" spans="2:3">
      <c r="B245" s="22">
        <v>45638</v>
      </c>
      <c r="C245">
        <v>44.189998626708899</v>
      </c>
    </row>
    <row r="246" spans="2:3">
      <c r="B246" s="22">
        <v>45639</v>
      </c>
      <c r="C246">
        <v>44.189998626708899</v>
      </c>
    </row>
    <row r="247" spans="2:3">
      <c r="B247" s="22">
        <v>45642</v>
      </c>
      <c r="C247">
        <v>43.25</v>
      </c>
    </row>
    <row r="248" spans="2:3">
      <c r="B248" s="22">
        <v>45643</v>
      </c>
      <c r="C248">
        <v>42.520000457763601</v>
      </c>
    </row>
    <row r="249" spans="2:3">
      <c r="B249" s="22">
        <v>45644</v>
      </c>
      <c r="C249">
        <v>40.770000457763601</v>
      </c>
    </row>
    <row r="250" spans="2:3">
      <c r="B250" s="22">
        <v>45645</v>
      </c>
      <c r="C250">
        <v>39.630001068115199</v>
      </c>
    </row>
    <row r="251" spans="2:3">
      <c r="B251" s="22">
        <v>45646</v>
      </c>
      <c r="C251">
        <v>39.409999847412102</v>
      </c>
    </row>
    <row r="252" spans="2:3">
      <c r="B252" s="22">
        <v>45649</v>
      </c>
      <c r="C252">
        <v>39.439998626708899</v>
      </c>
    </row>
    <row r="253" spans="2:3">
      <c r="B253" s="22">
        <v>45650</v>
      </c>
      <c r="C253">
        <v>39.310001373291001</v>
      </c>
    </row>
    <row r="254" spans="2:3">
      <c r="B254" s="22">
        <v>45652</v>
      </c>
      <c r="C254">
        <v>39.380001068115199</v>
      </c>
    </row>
    <row r="255" spans="2:3">
      <c r="B255" s="22">
        <v>45653</v>
      </c>
      <c r="C255">
        <v>39.349998474121001</v>
      </c>
    </row>
    <row r="256" spans="2:3">
      <c r="B256" s="22">
        <v>45656</v>
      </c>
      <c r="C256">
        <v>38.639999389648402</v>
      </c>
    </row>
    <row r="257" spans="2:3">
      <c r="B257" s="22">
        <v>45657</v>
      </c>
      <c r="C257">
        <v>38.509998321533203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RATIOS</vt:lpstr>
      <vt:lpstr>GRAPH</vt:lpstr>
      <vt:lpstr>BALANCE SHEET</vt:lpstr>
      <vt:lpstr>INCOME STATEMENT</vt:lpstr>
      <vt:lpstr>CASH FLOW</vt:lpstr>
      <vt:lpstr>FUTURE PROJECTION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ken</dc:creator>
  <cp:lastModifiedBy>kenny ken</cp:lastModifiedBy>
  <dcterms:created xsi:type="dcterms:W3CDTF">2024-11-20T04:13:36Z</dcterms:created>
  <dcterms:modified xsi:type="dcterms:W3CDTF">2025-01-09T05:19:15Z</dcterms:modified>
</cp:coreProperties>
</file>